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Overview" sheetId="1" state="visible" r:id="rId1"/>
    <sheet name="Reviewer 3 Review" sheetId="2" state="visible" r:id="rId2"/>
    <sheet name="Reviewer 3 To-Do" sheetId="3" state="visible" r:id="rId3"/>
    <sheet name="Reviewer 4 Review" sheetId="4" state="visible" r:id="rId4"/>
    <sheet name="Reviewer 4 To-Do" sheetId="5" state="visible" r:id="rId5"/>
    <sheet name="Reviewer 5 Review" sheetId="6" state="visible" r:id="rId6"/>
    <sheet name="Reviewer 5 To-Do" sheetId="7" state="visible" r:id="rId7"/>
    <sheet name="Reviewer 6 Review" sheetId="8" state="visible" r:id="rId8"/>
    <sheet name="Reviewer 6 To-Do" sheetId="9" state="visible" r:id="rId9"/>
  </sheets>
  <definedNames/>
  <calcPr calcId="124519" calcMode="auto" fullCalcOnLoad="1" forceFullCalc="1"/>
</workbook>
</file>

<file path=xl/styles.xml><?xml version="1.0" encoding="utf-8"?>
<styleSheet xmlns="http://schemas.openxmlformats.org/spreadsheetml/2006/main">
  <numFmts count="0"/>
  <fonts count="7">
    <font>
      <name val="Carlito"/>
      <sz val="11"/>
    </font>
    <font>
      <name val="Carlito"/>
      <b val="1"/>
      <color rgb="FFFFFFFF"/>
      <sz val="16"/>
    </font>
    <font>
      <name val="Carlito"/>
      <b val="1"/>
      <color rgb="FF1F2937"/>
      <sz val="11"/>
    </font>
    <font>
      <name val="Carlito"/>
      <color rgb="FF1F2937"/>
      <sz val="10"/>
    </font>
    <font>
      <name val="Carlito"/>
      <b val="1"/>
      <color rgb="FF1F2937"/>
      <sz val="10"/>
    </font>
    <font>
      <name val="Carlito"/>
      <b val="1"/>
      <color rgb="FFFFFFFF"/>
      <sz val="11"/>
    </font>
    <font>
      <name val="Carlito"/>
      <b val="1"/>
      <color rgb="FF17365D"/>
      <sz val="10"/>
    </font>
  </fonts>
  <fills count="7">
    <fill>
      <patternFill/>
    </fill>
    <fill>
      <patternFill patternType="gray125"/>
    </fill>
    <fill>
      <patternFill patternType="solid">
        <fgColor rgb="FF17365D"/>
      </patternFill>
    </fill>
    <fill>
      <patternFill patternType="solid">
        <fgColor rgb="FFF3F4F6"/>
      </patternFill>
    </fill>
    <fill>
      <patternFill patternType="solid">
        <fgColor rgb="FF2F75B5"/>
      </patternFill>
    </fill>
    <fill>
      <patternFill patternType="solid">
        <fgColor rgb="FFD9EAF7"/>
      </patternFill>
    </fill>
    <fill>
      <patternFill patternType="solid">
        <fgColor rgb="FFEDF4FB"/>
      </patternFill>
    </fill>
  </fills>
  <borders count="19">
    <border/>
    <border/>
    <border>
      <left/>
      <top/>
    </border>
    <border>
      <top/>
    </border>
    <border>
      <right/>
      <top/>
    </border>
    <border>
      <left/>
    </border>
    <border>
      <right/>
    </border>
    <border>
      <left/>
      <bottom/>
    </border>
    <border>
      <bottom/>
    </border>
    <border>
      <right/>
      <bottom/>
    </border>
    <border>
      <left/>
      <top/>
    </border>
    <border>
      <top/>
    </border>
    <border>
      <right/>
      <top/>
    </border>
    <border>
      <left/>
    </border>
    <border>
      <right/>
    </border>
    <border>
      <left/>
      <bottom/>
    </border>
    <border>
      <bottom/>
    </border>
    <border>
      <right/>
      <bottom/>
    </border>
    <border>
      <left/>
      <right/>
      <top/>
    </border>
  </borders>
  <cellStyleXfs count="1">
    <xf numFmtId="0" fontId="0" fillId="0" borderId="1"/>
  </cellStyleXfs>
  <cellXfs count="136">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horizontal="left"/>
    </xf>
    <xf numFmtId="0" fontId="1" fillId="2" borderId="0" applyAlignment="1" pivotButton="0" quotePrefix="0" xfId="0">
      <alignment horizontal="left" vertical="center"/>
    </xf>
    <xf numFmtId="0" fontId="0" fillId="2" borderId="1" pivotButton="0" quotePrefix="0" xfId="0"/>
    <xf numFmtId="0" fontId="1" fillId="2" borderId="1" pivotButton="0" quotePrefix="0" xfId="0"/>
    <xf numFmtId="0" fontId="1" fillId="2" borderId="1" applyAlignment="1" pivotButton="0" quotePrefix="0" xfId="0">
      <alignment horizontal="left"/>
    </xf>
    <xf numFmtId="0" fontId="1" fillId="2" borderId="1" applyAlignment="1" pivotButton="0" quotePrefix="0" xfId="0">
      <alignment horizontal="left" vertical="center"/>
    </xf>
    <xf numFmtId="0" fontId="0" fillId="3" borderId="0" pivotButton="0" quotePrefix="0" xfId="0"/>
    <xf numFmtId="0" fontId="2" fillId="3" borderId="0" pivotButton="0" quotePrefix="0" xfId="0"/>
    <xf numFmtId="0" fontId="2" fillId="3" borderId="0" applyAlignment="1" pivotButton="0" quotePrefix="0" xfId="0">
      <alignment vertical="center"/>
    </xf>
    <xf numFmtId="0" fontId="0" fillId="3" borderId="1" pivotButton="0" quotePrefix="0" xfId="0"/>
    <xf numFmtId="0" fontId="2" fillId="3" borderId="1" pivotButton="0" quotePrefix="0" xfId="0"/>
    <xf numFmtId="0" fontId="2" fillId="3" borderId="1" applyAlignment="1" pivotButton="0" quotePrefix="0" xfId="0">
      <alignment vertical="center"/>
    </xf>
    <xf numFmtId="0" fontId="3" fillId="0" borderId="0" pivotButton="0" quotePrefix="0" xfId="0"/>
    <xf numFmtId="0" fontId="4" fillId="3" borderId="0" applyAlignment="1" pivotButton="0" quotePrefix="0" xfId="0">
      <alignment vertical="center"/>
    </xf>
    <xf numFmtId="0" fontId="3" fillId="0" borderId="0" applyAlignment="1" pivotButton="0" quotePrefix="0" xfId="0">
      <alignment vertical="top"/>
    </xf>
    <xf numFmtId="0" fontId="4" fillId="3" borderId="0" applyAlignment="1" pivotButton="0" quotePrefix="0" xfId="0">
      <alignment vertical="top"/>
    </xf>
    <xf numFmtId="0" fontId="3" fillId="0" borderId="1" pivotButton="0" quotePrefix="0" xfId="0"/>
    <xf numFmtId="0" fontId="4" fillId="3" borderId="1" applyAlignment="1" pivotButton="0" quotePrefix="0" xfId="0">
      <alignment vertical="center"/>
    </xf>
    <xf numFmtId="0" fontId="3" fillId="0" borderId="1" applyAlignment="1" pivotButton="0" quotePrefix="0" xfId="0">
      <alignment vertical="top"/>
    </xf>
    <xf numFmtId="0" fontId="4" fillId="3" borderId="1" applyAlignment="1" pivotButton="0" quotePrefix="0" xfId="0">
      <alignment vertical="top"/>
    </xf>
    <xf numFmtId="0" fontId="3" fillId="0" borderId="0" applyAlignment="1" pivotButton="0" quotePrefix="0" xfId="0">
      <alignment vertical="top" wrapText="1"/>
    </xf>
    <xf numFmtId="0" fontId="3" fillId="0" borderId="1" applyAlignment="1" pivotButton="0" quotePrefix="0" xfId="0">
      <alignment vertical="top" wrapText="1"/>
    </xf>
    <xf numFmtId="0" fontId="0" fillId="4" borderId="0" pivotButton="0" quotePrefix="0" xfId="0"/>
    <xf numFmtId="0" fontId="5" fillId="4" borderId="0" pivotButton="0" quotePrefix="0" xfId="0"/>
    <xf numFmtId="0" fontId="5" fillId="4" borderId="0" applyAlignment="1" pivotButton="0" quotePrefix="0" xfId="0">
      <alignment wrapText="1"/>
    </xf>
    <xf numFmtId="0" fontId="5" fillId="4" borderId="0" applyAlignment="1" pivotButton="0" quotePrefix="0" xfId="0">
      <alignment horizontal="center" wrapText="1"/>
    </xf>
    <xf numFmtId="0" fontId="5" fillId="4" borderId="0" applyAlignment="1" pivotButton="0" quotePrefix="0" xfId="0">
      <alignment horizontal="center" vertical="center" wrapText="1"/>
    </xf>
    <xf numFmtId="0" fontId="0" fillId="4" borderId="1" pivotButton="0" quotePrefix="0" xfId="0"/>
    <xf numFmtId="0" fontId="5" fillId="4" borderId="1" pivotButton="0" quotePrefix="0" xfId="0"/>
    <xf numFmtId="0" fontId="5" fillId="4" borderId="1" applyAlignment="1" pivotButton="0" quotePrefix="0" xfId="0">
      <alignment wrapText="1"/>
    </xf>
    <xf numFmtId="0" fontId="5" fillId="4" borderId="1" applyAlignment="1" pivotButton="0" quotePrefix="0" xfId="0">
      <alignment horizontal="center" wrapText="1"/>
    </xf>
    <xf numFmtId="0" fontId="5" fillId="4" borderId="1" applyAlignment="1" pivotButton="0" quotePrefix="0" xfId="0">
      <alignment horizontal="center" vertical="center" wrapText="1"/>
    </xf>
    <xf numFmtId="0" fontId="5" fillId="4" borderId="2" applyAlignment="1" pivotButton="0" quotePrefix="0" xfId="0">
      <alignment horizontal="center" vertical="center" wrapText="1"/>
    </xf>
    <xf numFmtId="0" fontId="5" fillId="4" borderId="3" applyAlignment="1" pivotButton="0" quotePrefix="0" xfId="0">
      <alignment horizontal="center" vertical="center" wrapText="1"/>
    </xf>
    <xf numFmtId="0" fontId="5" fillId="4" borderId="4" applyAlignment="1" pivotButton="0" quotePrefix="0" xfId="0">
      <alignment horizontal="center" vertical="center" wrapText="1"/>
    </xf>
    <xf numFmtId="0" fontId="3" fillId="0" borderId="5" applyAlignment="1" pivotButton="0" quotePrefix="0" xfId="0">
      <alignment vertical="top"/>
    </xf>
    <xf numFmtId="0" fontId="3" fillId="0" borderId="6" applyAlignment="1" pivotButton="0" quotePrefix="0" xfId="0">
      <alignment vertical="top"/>
    </xf>
    <xf numFmtId="0" fontId="3" fillId="0" borderId="7" applyAlignment="1" pivotButton="0" quotePrefix="0" xfId="0">
      <alignment vertical="top"/>
    </xf>
    <xf numFmtId="0" fontId="3" fillId="0" borderId="8" applyAlignment="1" pivotButton="0" quotePrefix="0" xfId="0">
      <alignment vertical="top"/>
    </xf>
    <xf numFmtId="0" fontId="3" fillId="0" borderId="9" applyAlignment="1" pivotButton="0" quotePrefix="0" xfId="0">
      <alignment vertical="top"/>
    </xf>
    <xf numFmtId="0" fontId="5" fillId="4" borderId="10" applyAlignment="1" pivotButton="0" quotePrefix="0" xfId="0">
      <alignment horizontal="center" vertical="center" wrapText="1"/>
    </xf>
    <xf numFmtId="0" fontId="5" fillId="4" borderId="11" applyAlignment="1" pivotButton="0" quotePrefix="0" xfId="0">
      <alignment horizontal="center" vertical="center" wrapText="1"/>
    </xf>
    <xf numFmtId="0" fontId="5" fillId="4" borderId="12" applyAlignment="1" pivotButton="0" quotePrefix="0" xfId="0">
      <alignment horizontal="center" vertical="center" wrapText="1"/>
    </xf>
    <xf numFmtId="0" fontId="3" fillId="0" borderId="13" applyAlignment="1" pivotButton="0" quotePrefix="0" xfId="0">
      <alignment vertical="top"/>
    </xf>
    <xf numFmtId="0" fontId="3" fillId="0" borderId="14" applyAlignment="1" pivotButton="0" quotePrefix="0" xfId="0">
      <alignment vertical="top"/>
    </xf>
    <xf numFmtId="0" fontId="3" fillId="0" borderId="15" applyAlignment="1" pivotButton="0" quotePrefix="0" xfId="0">
      <alignment vertical="top"/>
    </xf>
    <xf numFmtId="0" fontId="3" fillId="0" borderId="16" applyAlignment="1" pivotButton="0" quotePrefix="0" xfId="0">
      <alignment vertical="top"/>
    </xf>
    <xf numFmtId="0" fontId="3" fillId="0" borderId="17" applyAlignment="1" pivotButton="0" quotePrefix="0" xfId="0">
      <alignment vertical="top"/>
    </xf>
    <xf numFmtId="0" fontId="6" fillId="0" borderId="5" applyAlignment="1" pivotButton="0" quotePrefix="0" xfId="0">
      <alignment vertical="top"/>
    </xf>
    <xf numFmtId="0" fontId="6" fillId="0" borderId="7" applyAlignment="1" pivotButton="0" quotePrefix="0" xfId="0">
      <alignment vertical="top"/>
    </xf>
    <xf numFmtId="0" fontId="6" fillId="0" borderId="13" applyAlignment="1" pivotButton="0" quotePrefix="0" xfId="0">
      <alignment vertical="top"/>
    </xf>
    <xf numFmtId="0" fontId="6" fillId="0" borderId="15" applyAlignment="1" pivotButton="0" quotePrefix="0" xfId="0">
      <alignment vertical="top"/>
    </xf>
    <xf numFmtId="0" fontId="0" fillId="5" borderId="0" pivotButton="0" quotePrefix="0" xfId="0"/>
    <xf numFmtId="0" fontId="2" fillId="5" borderId="0" pivotButton="0" quotePrefix="0" xfId="0"/>
    <xf numFmtId="0" fontId="2" fillId="5" borderId="0" applyAlignment="1" pivotButton="0" quotePrefix="0" xfId="0">
      <alignment vertical="center"/>
    </xf>
    <xf numFmtId="0" fontId="0" fillId="5" borderId="1" pivotButton="0" quotePrefix="0" xfId="0"/>
    <xf numFmtId="0" fontId="2" fillId="5" borderId="1" pivotButton="0" quotePrefix="0" xfId="0"/>
    <xf numFmtId="0" fontId="2" fillId="5" borderId="1" applyAlignment="1" pivotButton="0" quotePrefix="0" xfId="0">
      <alignment vertical="center"/>
    </xf>
    <xf numFmtId="0" fontId="2" fillId="5" borderId="2" applyAlignment="1" pivotButton="0" quotePrefix="0" xfId="0">
      <alignment vertical="center"/>
    </xf>
    <xf numFmtId="0" fontId="2" fillId="5" borderId="3" applyAlignment="1" pivotButton="0" quotePrefix="0" xfId="0">
      <alignment vertical="center"/>
    </xf>
    <xf numFmtId="0" fontId="2" fillId="5" borderId="4" applyAlignment="1" pivotButton="0" quotePrefix="0" xfId="0">
      <alignment vertical="center"/>
    </xf>
    <xf numFmtId="0" fontId="2" fillId="5" borderId="10" applyAlignment="1" pivotButton="0" quotePrefix="0" xfId="0">
      <alignment vertical="center"/>
    </xf>
    <xf numFmtId="0" fontId="2" fillId="5" borderId="11" applyAlignment="1" pivotButton="0" quotePrefix="0" xfId="0">
      <alignment vertical="center"/>
    </xf>
    <xf numFmtId="0" fontId="2" fillId="5" borderId="12" applyAlignment="1" pivotButton="0" quotePrefix="0" xfId="0">
      <alignment vertical="center"/>
    </xf>
    <xf numFmtId="0" fontId="3" fillId="0" borderId="5" applyAlignment="1" pivotButton="0" quotePrefix="0" xfId="0">
      <alignment horizontal="center" vertical="top"/>
    </xf>
    <xf numFmtId="0" fontId="3" fillId="0" borderId="7" applyAlignment="1" pivotButton="0" quotePrefix="0" xfId="0">
      <alignment horizontal="center" vertical="top"/>
    </xf>
    <xf numFmtId="0" fontId="3" fillId="0" borderId="13" applyAlignment="1" pivotButton="0" quotePrefix="0" xfId="0">
      <alignment horizontal="center" vertical="top"/>
    </xf>
    <xf numFmtId="0" fontId="3" fillId="0" borderId="15" applyAlignment="1" pivotButton="0" quotePrefix="0" xfId="0">
      <alignment horizontal="center" vertical="top"/>
    </xf>
    <xf numFmtId="0" fontId="6" fillId="0" borderId="5" applyAlignment="1" pivotButton="0" quotePrefix="0" xfId="0">
      <alignment horizontal="center" vertical="top"/>
    </xf>
    <xf numFmtId="0" fontId="6" fillId="0" borderId="0" applyAlignment="1" pivotButton="0" quotePrefix="0" xfId="0">
      <alignment vertical="top"/>
    </xf>
    <xf numFmtId="0" fontId="6" fillId="0" borderId="7" applyAlignment="1" pivotButton="0" quotePrefix="0" xfId="0">
      <alignment horizontal="center" vertical="top"/>
    </xf>
    <xf numFmtId="0" fontId="6" fillId="0" borderId="8" applyAlignment="1" pivotButton="0" quotePrefix="0" xfId="0">
      <alignment vertical="top"/>
    </xf>
    <xf numFmtId="0" fontId="6" fillId="0" borderId="13" applyAlignment="1" pivotButton="0" quotePrefix="0" xfId="0">
      <alignment horizontal="center" vertical="top"/>
    </xf>
    <xf numFmtId="0" fontId="6" fillId="0" borderId="1" applyAlignment="1" pivotButton="0" quotePrefix="0" xfId="0">
      <alignment vertical="top"/>
    </xf>
    <xf numFmtId="0" fontId="6" fillId="0" borderId="15" applyAlignment="1" pivotButton="0" quotePrefix="0" xfId="0">
      <alignment horizontal="center" vertical="top"/>
    </xf>
    <xf numFmtId="0" fontId="6" fillId="0" borderId="16" applyAlignment="1" pivotButton="0" quotePrefix="0" xfId="0">
      <alignment vertical="top"/>
    </xf>
    <xf numFmtId="0" fontId="1" fillId="2" borderId="0" applyAlignment="1" pivotButton="0" quotePrefix="0" xfId="0">
      <alignment horizontal="left" vertical="center" wrapText="1"/>
    </xf>
    <xf numFmtId="0" fontId="0" fillId="0" borderId="0" applyAlignment="1" pivotButton="0" quotePrefix="0" xfId="0">
      <alignment wrapText="1"/>
    </xf>
    <xf numFmtId="0" fontId="2" fillId="3" borderId="0" applyAlignment="1" pivotButton="0" quotePrefix="0" xfId="0">
      <alignment vertical="center" wrapText="1"/>
    </xf>
    <xf numFmtId="0" fontId="4" fillId="3" borderId="0" applyAlignment="1" pivotButton="0" quotePrefix="0" xfId="0">
      <alignment vertical="top" wrapText="1"/>
    </xf>
    <xf numFmtId="0" fontId="3" fillId="0" borderId="5" applyAlignment="1" pivotButton="0" quotePrefix="0" xfId="0">
      <alignment vertical="top" wrapText="1"/>
    </xf>
    <xf numFmtId="0" fontId="3" fillId="0" borderId="6" applyAlignment="1" pivotButton="0" quotePrefix="0" xfId="0">
      <alignment vertical="top" wrapText="1"/>
    </xf>
    <xf numFmtId="0" fontId="3" fillId="0" borderId="7" applyAlignment="1" pivotButton="0" quotePrefix="0" xfId="0">
      <alignment vertical="top" wrapText="1"/>
    </xf>
    <xf numFmtId="0" fontId="3" fillId="0" borderId="9" applyAlignment="1" pivotButton="0" quotePrefix="0" xfId="0">
      <alignment vertical="top" wrapText="1"/>
    </xf>
    <xf numFmtId="0" fontId="6" fillId="0" borderId="5" applyAlignment="1" pivotButton="0" quotePrefix="0" xfId="0">
      <alignment vertical="top" wrapText="1"/>
    </xf>
    <xf numFmtId="0" fontId="6" fillId="0" borderId="7" applyAlignment="1" pivotButton="0" quotePrefix="0" xfId="0">
      <alignment vertical="top" wrapText="1"/>
    </xf>
    <xf numFmtId="0" fontId="3" fillId="0" borderId="8" applyAlignment="1" pivotButton="0" quotePrefix="0" xfId="0">
      <alignment vertical="top" wrapText="1"/>
    </xf>
    <xf numFmtId="0" fontId="2" fillId="5" borderId="2" applyAlignment="1" pivotButton="0" quotePrefix="0" xfId="0">
      <alignment vertical="center" wrapText="1"/>
    </xf>
    <xf numFmtId="0" fontId="2" fillId="5" borderId="3" applyAlignment="1" pivotButton="0" quotePrefix="0" xfId="0">
      <alignment vertical="center" wrapText="1"/>
    </xf>
    <xf numFmtId="0" fontId="2" fillId="5" borderId="4" applyAlignment="1" pivotButton="0" quotePrefix="0" xfId="0">
      <alignment vertical="center" wrapText="1"/>
    </xf>
    <xf numFmtId="0" fontId="6" fillId="0" borderId="5" applyAlignment="1" pivotButton="0" quotePrefix="0" xfId="0">
      <alignment horizontal="center" vertical="top" wrapText="1"/>
    </xf>
    <xf numFmtId="0" fontId="6" fillId="0" borderId="0" applyAlignment="1" pivotButton="0" quotePrefix="0" xfId="0">
      <alignment vertical="top" wrapText="1"/>
    </xf>
    <xf numFmtId="0" fontId="6" fillId="0" borderId="7" applyAlignment="1" pivotButton="0" quotePrefix="0" xfId="0">
      <alignment horizontal="center" vertical="top" wrapText="1"/>
    </xf>
    <xf numFmtId="0" fontId="6" fillId="0" borderId="8" applyAlignment="1" pivotButton="0" quotePrefix="0" xfId="0">
      <alignment vertical="top" wrapText="1"/>
    </xf>
    <xf numFmtId="0" fontId="1" fillId="2" borderId="1" applyAlignment="1" pivotButton="0" quotePrefix="0" xfId="0">
      <alignment horizontal="left" vertical="center" wrapText="1"/>
    </xf>
    <xf numFmtId="0" fontId="0" fillId="0" borderId="1" applyAlignment="1" pivotButton="0" quotePrefix="0" xfId="0">
      <alignment wrapText="1"/>
    </xf>
    <xf numFmtId="0" fontId="2" fillId="3" borderId="1" applyAlignment="1" pivotButton="0" quotePrefix="0" xfId="0">
      <alignment vertical="center" wrapText="1"/>
    </xf>
    <xf numFmtId="0" fontId="4" fillId="3" borderId="1" applyAlignment="1" pivotButton="0" quotePrefix="0" xfId="0">
      <alignment vertical="top" wrapText="1"/>
    </xf>
    <xf numFmtId="0" fontId="3" fillId="0" borderId="13" applyAlignment="1" pivotButton="0" quotePrefix="0" xfId="0">
      <alignment vertical="top" wrapText="1"/>
    </xf>
    <xf numFmtId="0" fontId="3" fillId="0" borderId="14" applyAlignment="1" pivotButton="0" quotePrefix="0" xfId="0">
      <alignment vertical="top" wrapText="1"/>
    </xf>
    <xf numFmtId="0" fontId="3" fillId="0" borderId="15" applyAlignment="1" pivotButton="0" quotePrefix="0" xfId="0">
      <alignment vertical="top" wrapText="1"/>
    </xf>
    <xf numFmtId="0" fontId="3" fillId="0" borderId="17" applyAlignment="1" pivotButton="0" quotePrefix="0" xfId="0">
      <alignment vertical="top" wrapText="1"/>
    </xf>
    <xf numFmtId="0" fontId="6" fillId="0" borderId="13" applyAlignment="1" pivotButton="0" quotePrefix="0" xfId="0">
      <alignment vertical="top" wrapText="1"/>
    </xf>
    <xf numFmtId="0" fontId="6" fillId="0" borderId="15" applyAlignment="1" pivotButton="0" quotePrefix="0" xfId="0">
      <alignment vertical="top" wrapText="1"/>
    </xf>
    <xf numFmtId="0" fontId="3" fillId="0" borderId="16" applyAlignment="1" pivotButton="0" quotePrefix="0" xfId="0">
      <alignment vertical="top" wrapText="1"/>
    </xf>
    <xf numFmtId="0" fontId="2" fillId="5" borderId="10" applyAlignment="1" pivotButton="0" quotePrefix="0" xfId="0">
      <alignment vertical="center" wrapText="1"/>
    </xf>
    <xf numFmtId="0" fontId="2" fillId="5" borderId="11" applyAlignment="1" pivotButton="0" quotePrefix="0" xfId="0">
      <alignment vertical="center" wrapText="1"/>
    </xf>
    <xf numFmtId="0" fontId="2" fillId="5" borderId="12" applyAlignment="1" pivotButton="0" quotePrefix="0" xfId="0">
      <alignment vertical="center" wrapText="1"/>
    </xf>
    <xf numFmtId="0" fontId="6" fillId="0" borderId="13" applyAlignment="1" pivotButton="0" quotePrefix="0" xfId="0">
      <alignment horizontal="center" vertical="top" wrapText="1"/>
    </xf>
    <xf numFmtId="0" fontId="6" fillId="0" borderId="1" applyAlignment="1" pivotButton="0" quotePrefix="0" xfId="0">
      <alignment vertical="top" wrapText="1"/>
    </xf>
    <xf numFmtId="0" fontId="6" fillId="0" borderId="15" applyAlignment="1" pivotButton="0" quotePrefix="0" xfId="0">
      <alignment horizontal="center" vertical="top" wrapText="1"/>
    </xf>
    <xf numFmtId="0" fontId="6" fillId="0" borderId="16" applyAlignment="1" pivotButton="0" quotePrefix="0" xfId="0">
      <alignment vertical="top" wrapText="1"/>
    </xf>
    <xf numFmtId="0" fontId="3" fillId="6" borderId="5" applyAlignment="1" pivotButton="0" quotePrefix="0" xfId="0">
      <alignment vertical="top"/>
    </xf>
    <xf numFmtId="0" fontId="3" fillId="6" borderId="7" applyAlignment="1" pivotButton="0" quotePrefix="0" xfId="0">
      <alignment vertical="top"/>
    </xf>
    <xf numFmtId="0" fontId="3" fillId="6" borderId="13" applyAlignment="1" pivotButton="0" quotePrefix="0" xfId="0">
      <alignment vertical="top"/>
    </xf>
    <xf numFmtId="0" fontId="3" fillId="6" borderId="15" applyAlignment="1" pivotButton="0" quotePrefix="0" xfId="0">
      <alignment vertical="top"/>
    </xf>
    <xf numFmtId="0" fontId="6" fillId="6" borderId="5" applyAlignment="1" pivotButton="0" quotePrefix="0" xfId="0">
      <alignment vertical="top"/>
    </xf>
    <xf numFmtId="0" fontId="6" fillId="6" borderId="7" applyAlignment="1" pivotButton="0" quotePrefix="0" xfId="0">
      <alignment vertical="top"/>
    </xf>
    <xf numFmtId="0" fontId="6" fillId="6" borderId="13" applyAlignment="1" pivotButton="0" quotePrefix="0" xfId="0">
      <alignment vertical="top"/>
    </xf>
    <xf numFmtId="0" fontId="6" fillId="6" borderId="15" applyAlignment="1" pivotButton="0" quotePrefix="0" xfId="0">
      <alignment vertical="top"/>
    </xf>
    <xf numFmtId="0" fontId="3" fillId="0" borderId="0" applyAlignment="1" pivotButton="0" quotePrefix="0" xfId="0">
      <alignment horizontal="center" vertical="top"/>
    </xf>
    <xf numFmtId="0" fontId="3" fillId="0" borderId="8" applyAlignment="1" pivotButton="0" quotePrefix="0" xfId="0">
      <alignment horizontal="center" vertical="top"/>
    </xf>
    <xf numFmtId="0" fontId="3" fillId="0" borderId="1" applyAlignment="1" pivotButton="0" quotePrefix="0" xfId="0">
      <alignment horizontal="center" vertical="top"/>
    </xf>
    <xf numFmtId="0" fontId="3" fillId="0" borderId="16" applyAlignment="1" pivotButton="0" quotePrefix="0" xfId="0">
      <alignment horizontal="center" vertical="top"/>
    </xf>
    <xf numFmtId="9" fontId="0" fillId="0" borderId="0" pivotButton="0" quotePrefix="0" xfId="0"/>
    <xf numFmtId="9" fontId="0" fillId="0" borderId="1" pivotButton="0" quotePrefix="0" xfId="0"/>
    <xf numFmtId="0" fontId="3" fillId="6" borderId="0" applyAlignment="1" pivotButton="0" quotePrefix="0" xfId="0">
      <alignment vertical="top"/>
    </xf>
    <xf numFmtId="0" fontId="3" fillId="6" borderId="8" applyAlignment="1" pivotButton="0" quotePrefix="0" xfId="0">
      <alignment vertical="top"/>
    </xf>
    <xf numFmtId="0" fontId="3" fillId="6" borderId="1" applyAlignment="1" pivotButton="0" quotePrefix="0" xfId="0">
      <alignment vertical="top"/>
    </xf>
    <xf numFmtId="0" fontId="3" fillId="6" borderId="16" applyAlignment="1" pivotButton="0" quotePrefix="0" xfId="0">
      <alignment vertical="top"/>
    </xf>
    <xf numFmtId="0" fontId="2" fillId="5" borderId="18" applyAlignment="1" pivotButton="0" quotePrefix="0" xfId="0">
      <alignment vertical="center" wrapText="1"/>
    </xf>
    <xf numFmtId="9" fontId="0" fillId="0" borderId="0" pivotButton="0" quotePrefix="0" xfId="0"/>
  </cellXfs>
  <cellStyles count="1">
    <cellStyle name="Normal" xfId="0"/>
  </cellStyles>
  <dxfs count="16">
    <dxf>
      <font>
        <b val="1"/>
        <color rgb="FF166534"/>
      </font>
      <fill>
        <patternFill patternType="solid">
          <bgColor rgb="FFDCFCE7"/>
        </patternFill>
      </fill>
    </dxf>
    <dxf>
      <font>
        <b val="1"/>
        <color rgb="FF92400E"/>
      </font>
      <fill>
        <patternFill patternType="solid">
          <bgColor rgb="FFFEF3C7"/>
        </patternFill>
      </fill>
    </dxf>
    <dxf>
      <font>
        <b val="1"/>
        <color rgb="FF991B1B"/>
      </font>
      <fill>
        <patternFill patternType="solid">
          <bgColor rgb="FFFEE2E2"/>
        </patternFill>
      </fill>
    </dxf>
    <dxf>
      <font>
        <b val="1"/>
        <color rgb="FF5B21B6"/>
      </font>
      <fill>
        <patternFill patternType="solid">
          <bgColor rgb="FFEDE9FE"/>
        </patternFill>
      </fill>
    </dxf>
    <dxf>
      <font>
        <b val="1"/>
        <color rgb="FF166534"/>
      </font>
      <fill>
        <patternFill patternType="solid">
          <bgColor rgb="FFDCFCE7"/>
        </patternFill>
      </fill>
    </dxf>
    <dxf>
      <font>
        <b val="1"/>
        <color rgb="FF92400E"/>
      </font>
      <fill>
        <patternFill patternType="solid">
          <bgColor rgb="FFFEF3C7"/>
        </patternFill>
      </fill>
    </dxf>
    <dxf>
      <font>
        <b val="1"/>
        <color rgb="FF991B1B"/>
      </font>
      <fill>
        <patternFill patternType="solid">
          <bgColor rgb="FFFEE2E2"/>
        </patternFill>
      </fill>
    </dxf>
    <dxf>
      <font>
        <b val="1"/>
        <color rgb="FF5B21B6"/>
      </font>
      <fill>
        <patternFill patternType="solid">
          <bgColor rgb="FFEDE9FE"/>
        </patternFill>
      </fill>
    </dxf>
    <dxf>
      <font>
        <b val="1"/>
        <color rgb="FF166534"/>
      </font>
      <fill>
        <patternFill patternType="solid">
          <bgColor rgb="FFDCFCE7"/>
        </patternFill>
      </fill>
    </dxf>
    <dxf>
      <font>
        <b val="1"/>
        <color rgb="FF92400E"/>
      </font>
      <fill>
        <patternFill patternType="solid">
          <bgColor rgb="FFFEF3C7"/>
        </patternFill>
      </fill>
    </dxf>
    <dxf>
      <font>
        <b val="1"/>
        <color rgb="FF991B1B"/>
      </font>
      <fill>
        <patternFill patternType="solid">
          <bgColor rgb="FFFEE2E2"/>
        </patternFill>
      </fill>
    </dxf>
    <dxf>
      <font>
        <b val="1"/>
        <color rgb="FF5B21B6"/>
      </font>
      <fill>
        <patternFill patternType="solid">
          <bgColor rgb="FFEDE9FE"/>
        </patternFill>
      </fill>
    </dxf>
    <dxf>
      <font>
        <b val="1"/>
        <color rgb="FF166534"/>
      </font>
      <fill>
        <patternFill patternType="solid">
          <bgColor rgb="FFDCFCE7"/>
        </patternFill>
      </fill>
    </dxf>
    <dxf>
      <font>
        <b val="1"/>
        <color rgb="FF92400E"/>
      </font>
      <fill>
        <patternFill patternType="solid">
          <bgColor rgb="FFFEF3C7"/>
        </patternFill>
      </fill>
    </dxf>
    <dxf>
      <font>
        <b val="1"/>
        <color rgb="FF991B1B"/>
      </font>
      <fill>
        <patternFill patternType="solid">
          <bgColor rgb="FFFEE2E2"/>
        </patternFill>
      </fill>
    </dxf>
    <dxf>
      <font>
        <b val="1"/>
        <color rgb="FF5B21B6"/>
      </font>
      <fill>
        <patternFill patternType="solid">
          <bgColor rgb="FFEDE9FE"/>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charts/chart1.xml><?xml version="1.0" encoding="utf-8"?>
<chartSpace xmlns:a="http://schemas.openxmlformats.org/drawingml/2006/main" xmlns="http://schemas.openxmlformats.org/drawingml/2006/chart">
  <chart>
    <title>
      <tx>
        <rich>
          <a:bodyPr/>
          <a:lstStyle/>
          <a:p>
            <a:r>
              <a:rPr/>
              <a:t>Action Items by Reviewer</a:t>
            </a:r>
          </a:p>
        </rich>
      </tx>
      <overlay val="0"/>
    </title>
    <plotArea>
      <layout/>
      <barChart>
        <barDir val="col"/>
        <grouping val="clustered"/>
        <varyColors val="0"/>
        <ser>
          <idx val="0"/>
          <order val="0"/>
          <tx>
            <v>Action Items</v>
          </tx>
          <spPr>
            <a:ln>
              <a:prstDash val="solid"/>
            </a:ln>
          </spPr>
          <cat>
            <strRef>
              <f>'Overview'!$K$3:$K$6</f>
              <strCache>
                <ptCount val="0"/>
              </strCache>
            </strRef>
          </cat>
          <val>
            <numRef>
              <f>'Overview'!$L$3:$L$6</f>
              <numCache>
                <formatCode>General</formatCode>
                <ptCount val="0"/>
              </numCache>
            </numRef>
          </val>
        </ser>
        <dLbls>
          <showLegendKey val="0"/>
          <showVal val="0"/>
          <showCatName val="0"/>
          <showSerName val="0"/>
          <showPercent val="0"/>
          <showBubbleSize val="0"/>
          <showLeaderLines val="0"/>
        </dLbls>
        <gapWidth val="150"/>
        <axId val="48650112"/>
        <axId val="48672768"/>
      </barChart>
      <catAx>
        <axId val="48650112"/>
        <scaling>
          <orientation val="minMax"/>
        </scaling>
        <delete val="0"/>
        <axPos val="b"/>
        <majorGridlines>
          <spPr>
            <a:ln w="9525">
              <a:solidFill>
                <a:srgbClr val="CCCCCC"/>
              </a:solidFill>
              <a:prstDash val="dash"/>
            </a:ln>
          </spPr>
        </majorGridlines>
        <numFmt formatCode="General" sourceLinked="0"/>
        <majorTickMark val="none"/>
        <minorTickMark val="none"/>
        <tickLblPos val="nextTo"/>
        <crossAx val="48672768"/>
        <crosses val="autoZero"/>
        <lblAlgn val="ctr"/>
        <lblOffset val="100"/>
        <noMultiLvlLbl val="0"/>
      </catAx>
      <valAx>
        <axId val="48672768"/>
        <scaling>
          <orientation val="minMax"/>
        </scaling>
        <delete val="0"/>
        <axPos val="l"/>
        <majorGridlines>
          <spPr>
            <a:ln w="9525">
              <a:solidFill>
                <a:srgbClr val="CCCCCC"/>
              </a:solidFill>
              <a:prstDash val="dash"/>
            </a:ln>
          </spPr>
        </majorGridlines>
        <numFmt formatCode="General" sourceLinked="0"/>
        <majorTickMark val="none"/>
        <minorTickMark val="none"/>
        <crossAx val="48650112"/>
        <crosses val="autoZero"/>
        <crossBetween val="between"/>
      </valAx>
    </plotArea>
    <plotVisOnly val="1"/>
    <dispBlanksAs val="gap"/>
  </chart>
  <spPr>
    <a:ln w="9525">
      <a:solidFill>
        <a:srgbClr val="D9D9D9"/>
      </a:solidFill>
      <a:prstDash val="solid"/>
    </a:ln>
  </spPr>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10</col>
      <colOff>0</colOff>
      <row>7</row>
      <rowOff>0</rowOff>
    </from>
    <to>
      <col>18</col>
      <colOff>0</colOff>
      <row>23</row>
      <rowOff>0</rowOff>
    </to>
    <graphicFrame>
      <nvGraphicFramePr>
        <cNvPr id="1" name="Chart 1"/>
        <cNvGraphicFramePr/>
      </nvGraphicFramePr>
      <xfrm/>
      <a:graphic>
        <a:graphicData uri="http://schemas.openxmlformats.org/drawingml/2006/chart">
          <c:chart r:id="rId1"/>
        </a:graphicData>
      </a:graphic>
    </graphicFrame>
    <clientData/>
  </twoCellAnchor>
</wsDr>
</file>

<file path=xl/tables/table1.xml><?xml version="1.0" encoding="utf-8"?>
<table xmlns="http://schemas.openxmlformats.org/spreadsheetml/2006/main" id="1" name="OverviewTable" displayName="OverviewTable" ref="A7:I11" headerRowCount="1">
  <tableColumns count="9">
    <tableColumn id="1" name="Reviewer"/>
    <tableColumn id="2" name="Overall Evaluation"/>
    <tableColumn id="3" name="Confidence"/>
    <tableColumn id="4" name="Review Points"/>
    <tableColumn id="5" name="Action Items"/>
    <tableColumn id="6" name="Done"/>
    <tableColumn id="7" name="In Progress"/>
    <tableColumn id="8" name="Not Started"/>
    <tableColumn id="9" name="Not Applicable"/>
  </tableColumns>
  <tableStyleInfo name="TableStyleMedium2" showRowStripes="1"/>
</table>
</file>

<file path=xl/tables/table2.xml><?xml version="1.0" encoding="utf-8"?>
<table xmlns="http://schemas.openxmlformats.org/spreadsheetml/2006/main" id="2" name="R3ReviewTable" displayName="R3ReviewTable" ref="A7:D21" headerRowCount="1">
  <tableColumns count="4">
    <tableColumn id="1" name="Section"/>
    <tableColumn id="2" name="Point #"/>
    <tableColumn id="3" name="Source Line"/>
    <tableColumn id="4" name="Verbatim Reviewer Text"/>
  </tableColumns>
  <tableStyleInfo name="TableStyleMedium2" showRowStripes="1"/>
</table>
</file>

<file path=xl/tables/table3.xml><?xml version="1.0" encoding="utf-8"?>
<table xmlns="http://schemas.openxmlformats.org/spreadsheetml/2006/main" id="3" name="R3TodoTable" displayName="R3TodoTable" ref="A8:J12" headerRowCount="1">
  <tableColumns count="10">
    <tableColumn id="1" name="Task ID"/>
    <tableColumn id="2" name="Category"/>
    <tableColumn id="3" name="Source Section"/>
    <tableColumn id="4" name="Source Line(s)"/>
    <tableColumn id="5" name="Verbatim Reviewer Point"/>
    <tableColumn id="6" name="Suggested Action"/>
    <tableColumn id="7" name="Priority"/>
    <tableColumn id="8" name="Status"/>
    <tableColumn id="9" name="Author Response / Change Made"/>
    <tableColumn id="10" name="Paper Section / Location"/>
  </tableColumns>
  <tableStyleInfo name="TableStyleMedium2" showRowStripes="1"/>
</table>
</file>

<file path=xl/tables/table4.xml><?xml version="1.0" encoding="utf-8"?>
<table xmlns="http://schemas.openxmlformats.org/spreadsheetml/2006/main" id="4" name="R4ReviewTable" displayName="R4ReviewTable" ref="A7:D202" headerRowCount="1">
  <tableColumns count="4">
    <tableColumn id="1" name="Section"/>
    <tableColumn id="2" name="Point #"/>
    <tableColumn id="3" name="Source Line"/>
    <tableColumn id="4" name="Verbatim Reviewer Text"/>
  </tableColumns>
  <tableStyleInfo name="TableStyleMedium2" showRowStripes="1"/>
</table>
</file>

<file path=xl/tables/table5.xml><?xml version="1.0" encoding="utf-8"?>
<table xmlns="http://schemas.openxmlformats.org/spreadsheetml/2006/main" id="5" name="R4TodoTable" displayName="R4TodoTable" ref="A8:J34" headerRowCount="1">
  <tableColumns count="10">
    <tableColumn id="1" name="Task ID"/>
    <tableColumn id="2" name="Category"/>
    <tableColumn id="3" name="Source Section"/>
    <tableColumn id="4" name="Source Line(s)"/>
    <tableColumn id="5" name="Verbatim Reviewer Point"/>
    <tableColumn id="6" name="Suggested Action"/>
    <tableColumn id="7" name="Priority"/>
    <tableColumn id="8" name="Status"/>
    <tableColumn id="9" name="Author Response / Change Made"/>
    <tableColumn id="10" name="Paper Section / Location"/>
  </tableColumns>
  <tableStyleInfo name="TableStyleMedium2" showRowStripes="1"/>
</table>
</file>

<file path=xl/tables/table6.xml><?xml version="1.0" encoding="utf-8"?>
<table xmlns="http://schemas.openxmlformats.org/spreadsheetml/2006/main" id="6" name="R5ReviewTable" displayName="R5ReviewTable" ref="A7:D20" headerRowCount="1">
  <tableColumns count="4">
    <tableColumn id="1" name="Section"/>
    <tableColumn id="2" name="Point #"/>
    <tableColumn id="3" name="Source Line"/>
    <tableColumn id="4" name="Verbatim Reviewer Text"/>
  </tableColumns>
  <tableStyleInfo name="TableStyleMedium2" showRowStripes="1"/>
</table>
</file>

<file path=xl/tables/table7.xml><?xml version="1.0" encoding="utf-8"?>
<table xmlns="http://schemas.openxmlformats.org/spreadsheetml/2006/main" id="7" name="R5TodoTable" displayName="R5TodoTable" ref="A8:J9" headerRowCount="1">
  <tableColumns count="10">
    <tableColumn id="1" name="Task ID"/>
    <tableColumn id="2" name="Category"/>
    <tableColumn id="3" name="Source Section"/>
    <tableColumn id="4" name="Source Line(s)"/>
    <tableColumn id="5" name="Verbatim Reviewer Point"/>
    <tableColumn id="6" name="Suggested Action"/>
    <tableColumn id="7" name="Priority"/>
    <tableColumn id="8" name="Status"/>
    <tableColumn id="9" name="Author Response / Change Made"/>
    <tableColumn id="10" name="Paper Section / Location"/>
  </tableColumns>
  <tableStyleInfo name="TableStyleMedium2" showRowStripes="1"/>
</table>
</file>

<file path=xl/tables/table8.xml><?xml version="1.0" encoding="utf-8"?>
<table xmlns="http://schemas.openxmlformats.org/spreadsheetml/2006/main" id="8" name="R6ReviewTable" displayName="R6ReviewTable" ref="A7:D18" headerRowCount="1">
  <tableColumns count="4">
    <tableColumn id="1" name="Section"/>
    <tableColumn id="2" name="Point #"/>
    <tableColumn id="3" name="Source Line"/>
    <tableColumn id="4" name="Verbatim Reviewer Text"/>
  </tableColumns>
  <tableStyleInfo name="TableStyleMedium2" showRowStripes="1"/>
</table>
</file>

<file path=xl/tables/table9.xml><?xml version="1.0" encoding="utf-8"?>
<table xmlns="http://schemas.openxmlformats.org/spreadsheetml/2006/main" id="9" name="R6TodoTable" displayName="R6TodoTable" ref="A8:J11" headerRowCount="1">
  <tableColumns count="10">
    <tableColumn id="1" name="Task ID"/>
    <tableColumn id="2" name="Category"/>
    <tableColumn id="3" name="Source Section"/>
    <tableColumn id="4" name="Source Line(s)"/>
    <tableColumn id="5" name="Verbatim Reviewer Point"/>
    <tableColumn id="6" name="Suggested Action"/>
    <tableColumn id="7" name="Priority"/>
    <tableColumn id="8" name="Status"/>
    <tableColumn id="9" name="Author Response / Change Made"/>
    <tableColumn id="10" name="Paper Section / Location"/>
  </tableColumns>
  <tableStyleInfo name="TableStyleMedium2" showRowStripes="1"/>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 /><Relationship Type="http://schemas.openxmlformats.org/officeDocument/2006/relationships/table" Target="/xl/tables/table1.xml" Id="rId2"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5.xml.rels><Relationships xmlns="http://schemas.openxmlformats.org/package/2006/relationships"><Relationship Type="http://schemas.openxmlformats.org/officeDocument/2006/relationships/table" Target="/xl/tables/table5.xml" Id="rId1" /></Relationships>
</file>

<file path=xl/worksheets/_rels/sheet6.xml.rels><Relationships xmlns="http://schemas.openxmlformats.org/package/2006/relationships"><Relationship Type="http://schemas.openxmlformats.org/officeDocument/2006/relationships/table" Target="/xl/tables/table6.xml" Id="rId1" /></Relationships>
</file>

<file path=xl/worksheets/_rels/sheet7.xml.rels><Relationships xmlns="http://schemas.openxmlformats.org/package/2006/relationships"><Relationship Type="http://schemas.openxmlformats.org/officeDocument/2006/relationships/table" Target="/xl/tables/table7.xml" Id="rId1" /></Relationships>
</file>

<file path=xl/worksheets/_rels/sheet8.xml.rels><Relationships xmlns="http://schemas.openxmlformats.org/package/2006/relationships"><Relationship Type="http://schemas.openxmlformats.org/officeDocument/2006/relationships/table" Target="/xl/tables/table8.xml" Id="rId1" /></Relationships>
</file>

<file path=xl/worksheets/_rels/sheet9.xml.rels><Relationships xmlns="http://schemas.openxmlformats.org/package/2006/relationships"><Relationship Type="http://schemas.openxmlformats.org/officeDocument/2006/relationships/table" Target="/xl/tables/table9.xml" Id="rId1" /></Relationships>
</file>

<file path=xl/worksheets/sheet1.xml><?xml version="1.0" encoding="utf-8"?>
<worksheet xmlns="http://schemas.openxmlformats.org/spreadsheetml/2006/main">
  <sheetPr>
    <outlinePr summaryBelow="1" summaryRight="1"/>
    <pageSetUpPr/>
  </sheetPr>
  <dimension ref="A1:R23"/>
  <sheetViews>
    <sheetView workbookViewId="0">
      <selection activeCell="A1" sqref="A1"/>
    </sheetView>
  </sheetViews>
  <sheetFormatPr baseColWidth="8" defaultRowHeight="15"/>
  <cols>
    <col width="16" customWidth="1" min="1" max="1"/>
    <col width="22" customWidth="1" min="2" max="2"/>
    <col width="52" customWidth="1" min="3" max="3"/>
    <col width="14" customWidth="1" min="4" max="4"/>
    <col width="14" customWidth="1" min="5" max="5"/>
    <col width="14" customWidth="1" min="6" max="6"/>
    <col width="14" customWidth="1" min="7" max="7"/>
    <col width="14" customWidth="1" min="8" max="8"/>
    <col width="14" customWidth="1" min="9" max="9"/>
    <col width="16" customWidth="1" min="11" max="11"/>
    <col width="14" customWidth="1" min="12" max="12"/>
  </cols>
  <sheetData>
    <row r="1" ht="30" customHeight="1">
      <c r="A1" s="98" t="inlineStr">
        <is>
          <t>ASONAM 2026 Reviewer Feedback &amp; Revision Tracker</t>
        </is>
      </c>
      <c r="B1" s="1" t="n"/>
      <c r="C1" s="1" t="n"/>
      <c r="D1" s="1" t="n"/>
      <c r="E1" s="1" t="n"/>
      <c r="F1" s="1" t="n"/>
      <c r="G1" s="1" t="n"/>
      <c r="H1" s="1" t="n"/>
      <c r="I1" s="1" t="n"/>
      <c r="J1" s="81" t="n"/>
      <c r="K1" s="81" t="n"/>
      <c r="L1" s="81" t="n"/>
      <c r="M1" s="81" t="n"/>
      <c r="N1" s="81" t="n"/>
      <c r="O1" s="81" t="n"/>
      <c r="P1" s="81" t="n"/>
      <c r="Q1" s="81" t="n"/>
      <c r="R1" s="81" t="n"/>
    </row>
    <row r="2">
      <c r="A2" s="81" t="n"/>
      <c r="B2" s="81" t="n"/>
      <c r="C2" s="81" t="n"/>
      <c r="D2" s="81" t="n"/>
      <c r="E2" s="81" t="n"/>
      <c r="F2" s="81" t="n"/>
      <c r="G2" s="81" t="n"/>
      <c r="H2" s="81" t="n"/>
      <c r="I2" s="81" t="n"/>
      <c r="J2" s="81" t="n"/>
      <c r="K2" s="36" t="inlineStr">
        <is>
          <t>Reviewer</t>
        </is>
      </c>
      <c r="L2" s="38" t="inlineStr">
        <is>
          <t>Action Items</t>
        </is>
      </c>
      <c r="M2" s="81" t="n"/>
      <c r="N2" s="81" t="n"/>
      <c r="O2" s="81" t="n"/>
      <c r="P2" s="81" t="n"/>
      <c r="Q2" s="81" t="n"/>
      <c r="R2" s="81" t="n"/>
    </row>
    <row r="3">
      <c r="A3" s="82" t="inlineStr">
        <is>
          <t>Paper ID</t>
        </is>
      </c>
      <c r="B3" s="24" t="n">
        <v>87</v>
      </c>
      <c r="C3" s="24" t="n"/>
      <c r="D3" s="83" t="inlineStr">
        <is>
          <t>Track</t>
        </is>
      </c>
      <c r="E3" s="25" t="inlineStr">
        <is>
          <t>ASONAM2026 -Research Track</t>
        </is>
      </c>
      <c r="F3" s="1" t="n"/>
      <c r="G3" s="1" t="n"/>
      <c r="H3" s="1" t="n"/>
      <c r="I3" s="1" t="n"/>
      <c r="J3" s="81" t="n"/>
      <c r="K3" s="84" t="inlineStr">
        <is>
          <t>Reviewer #3</t>
        </is>
      </c>
      <c r="L3" s="85">
        <f>E8</f>
        <v/>
      </c>
      <c r="M3" s="81" t="n"/>
      <c r="N3" s="81" t="n"/>
      <c r="O3" s="81" t="n"/>
      <c r="P3" s="81" t="n"/>
      <c r="Q3" s="81" t="n"/>
      <c r="R3" s="81" t="n"/>
    </row>
    <row r="4" ht="36" customHeight="1">
      <c r="A4" s="82" t="inlineStr">
        <is>
          <t>Paper Title</t>
        </is>
      </c>
      <c r="B4" s="25" t="inlineStr">
        <is>
          <t>From Legal Text to Legal Graphs: Judgment Prediction with Graph Neural Networks</t>
        </is>
      </c>
      <c r="C4" s="1" t="n"/>
      <c r="D4" s="1" t="n"/>
      <c r="E4" s="1" t="n"/>
      <c r="F4" s="1" t="n"/>
      <c r="G4" s="1" t="n"/>
      <c r="H4" s="1" t="n"/>
      <c r="I4" s="1" t="n"/>
      <c r="J4" s="81" t="n"/>
      <c r="K4" s="84" t="inlineStr">
        <is>
          <t>Reviewer #4</t>
        </is>
      </c>
      <c r="L4" s="85">
        <f>E9</f>
        <v/>
      </c>
      <c r="M4" s="81" t="n"/>
      <c r="N4" s="81" t="n"/>
      <c r="O4" s="81" t="n"/>
      <c r="P4" s="81" t="n"/>
      <c r="Q4" s="81" t="n"/>
      <c r="R4" s="81" t="n"/>
    </row>
    <row r="5">
      <c r="A5" s="81" t="n"/>
      <c r="B5" s="81" t="n"/>
      <c r="C5" s="81" t="n"/>
      <c r="D5" s="81" t="n"/>
      <c r="E5" s="81" t="n"/>
      <c r="F5" s="81" t="n"/>
      <c r="G5" s="81" t="n"/>
      <c r="H5" s="81" t="n"/>
      <c r="I5" s="81" t="n"/>
      <c r="J5" s="81" t="n"/>
      <c r="K5" s="84" t="inlineStr">
        <is>
          <t>Reviewer #5</t>
        </is>
      </c>
      <c r="L5" s="85">
        <f>E10</f>
        <v/>
      </c>
      <c r="M5" s="81" t="n"/>
      <c r="N5" s="81" t="n"/>
      <c r="O5" s="81" t="n"/>
      <c r="P5" s="81" t="n"/>
      <c r="Q5" s="81" t="n"/>
      <c r="R5" s="81" t="n"/>
    </row>
    <row r="6">
      <c r="A6" s="81" t="n"/>
      <c r="B6" s="81" t="n"/>
      <c r="C6" s="81" t="n"/>
      <c r="D6" s="81" t="n"/>
      <c r="E6" s="81" t="n"/>
      <c r="F6" s="81" t="n"/>
      <c r="G6" s="81" t="n"/>
      <c r="H6" s="81" t="n"/>
      <c r="I6" s="81" t="n"/>
      <c r="J6" s="81" t="n"/>
      <c r="K6" s="86" t="inlineStr">
        <is>
          <t>Reviewer #6</t>
        </is>
      </c>
      <c r="L6" s="87">
        <f>E11</f>
        <v/>
      </c>
      <c r="M6" s="81" t="n"/>
      <c r="N6" s="81" t="n"/>
      <c r="O6" s="81" t="n"/>
      <c r="P6" s="81" t="n"/>
      <c r="Q6" s="81" t="n"/>
      <c r="R6" s="81" t="n"/>
    </row>
    <row r="7" ht="32" customHeight="1">
      <c r="A7" s="36" t="inlineStr">
        <is>
          <t>Reviewer</t>
        </is>
      </c>
      <c r="B7" s="37" t="inlineStr">
        <is>
          <t>Overall Evaluation</t>
        </is>
      </c>
      <c r="C7" s="37" t="inlineStr">
        <is>
          <t>Confidence</t>
        </is>
      </c>
      <c r="D7" s="37" t="inlineStr">
        <is>
          <t>Review Points</t>
        </is>
      </c>
      <c r="E7" s="37" t="inlineStr">
        <is>
          <t>Action Items</t>
        </is>
      </c>
      <c r="F7" s="37" t="inlineStr">
        <is>
          <t>Done</t>
        </is>
      </c>
      <c r="G7" s="37" t="inlineStr">
        <is>
          <t>In Progress</t>
        </is>
      </c>
      <c r="H7" s="37" t="inlineStr">
        <is>
          <t>Not Started</t>
        </is>
      </c>
      <c r="I7" s="38" t="inlineStr">
        <is>
          <t>Not Applicable</t>
        </is>
      </c>
      <c r="J7" s="81" t="n"/>
      <c r="K7" s="81" t="n"/>
      <c r="L7" s="81" t="n"/>
      <c r="M7" s="81" t="n"/>
      <c r="N7" s="81" t="n"/>
      <c r="O7" s="81" t="n"/>
      <c r="P7" s="81" t="n"/>
      <c r="Q7" s="81" t="n"/>
      <c r="R7" s="81" t="n"/>
    </row>
    <row r="8" ht="26" customHeight="1">
      <c r="A8" s="88" t="inlineStr">
        <is>
          <t>Reviewer #3</t>
        </is>
      </c>
      <c r="B8" s="24" t="inlineStr">
        <is>
          <t>Accept</t>
        </is>
      </c>
      <c r="C8" s="24" t="inlineStr">
        <is>
          <t>High</t>
        </is>
      </c>
      <c r="D8" s="24">
        <f>COUNTA('Reviewer 3 Review'!$D$8:$D$21)</f>
        <v/>
      </c>
      <c r="E8" s="24">
        <f>COUNTA('Reviewer 3 To-Do'!$A$9:$A$12)</f>
        <v/>
      </c>
      <c r="F8" s="24">
        <f>COUNTIF('Reviewer 3 To-Do'!$H$9:$H$12,"Done")</f>
        <v/>
      </c>
      <c r="G8" s="24">
        <f>COUNTIF('Reviewer 3 To-Do'!$H$9:$H$12,"In Progress")</f>
        <v/>
      </c>
      <c r="H8" s="24">
        <f>COUNTIF('Reviewer 3 To-Do'!$H$9:$H$12,"Not Started")</f>
        <v/>
      </c>
      <c r="I8" s="85">
        <f>COUNTIF('Reviewer 3 To-Do'!$H$9:$H$12,"Not Applicable")</f>
        <v/>
      </c>
      <c r="J8" s="81" t="n"/>
      <c r="K8" s="81" t="n"/>
      <c r="L8" s="81" t="n"/>
      <c r="M8" s="81" t="n"/>
      <c r="N8" s="81" t="n"/>
      <c r="O8" s="81" t="n"/>
      <c r="P8" s="81" t="n"/>
      <c r="Q8" s="81" t="n"/>
      <c r="R8" s="81" t="n"/>
    </row>
    <row r="9" ht="26" customHeight="1">
      <c r="A9" s="88" t="inlineStr">
        <is>
          <t>Reviewer #4</t>
        </is>
      </c>
      <c r="B9" s="24" t="inlineStr">
        <is>
          <t>Weak Reject</t>
        </is>
      </c>
      <c r="C9" s="24" t="inlineStr">
        <is>
          <t>High</t>
        </is>
      </c>
      <c r="D9" s="24">
        <f>COUNTA('Reviewer 4 Review'!$D$8:$D$202)</f>
        <v/>
      </c>
      <c r="E9" s="24">
        <f>COUNTA('Reviewer 4 To-Do'!$A$9:$A$34)</f>
        <v/>
      </c>
      <c r="F9" s="24">
        <f>COUNTIF('Reviewer 4 To-Do'!$H$9:$H$34,"Done")</f>
        <v/>
      </c>
      <c r="G9" s="24">
        <f>COUNTIF('Reviewer 4 To-Do'!$H$9:$H$34,"In Progress")</f>
        <v/>
      </c>
      <c r="H9" s="24">
        <f>COUNTIF('Reviewer 4 To-Do'!$H$9:$H$34,"Not Started")</f>
        <v/>
      </c>
      <c r="I9" s="85">
        <f>COUNTIF('Reviewer 4 To-Do'!$H$9:$H$34,"Not Applicable")</f>
        <v/>
      </c>
      <c r="J9" s="81" t="n"/>
      <c r="K9" s="81" t="n"/>
      <c r="L9" s="81" t="n"/>
      <c r="M9" s="81" t="n"/>
      <c r="N9" s="81" t="n"/>
      <c r="O9" s="81" t="n"/>
      <c r="P9" s="81" t="n"/>
      <c r="Q9" s="81" t="n"/>
      <c r="R9" s="81" t="n"/>
    </row>
    <row r="10" ht="26" customHeight="1">
      <c r="A10" s="88" t="inlineStr">
        <is>
          <t>Reviewer #5</t>
        </is>
      </c>
      <c r="B10" s="24" t="inlineStr">
        <is>
          <t>Accept</t>
        </is>
      </c>
      <c r="C10" s="24" t="inlineStr">
        <is>
          <t>High</t>
        </is>
      </c>
      <c r="D10" s="24">
        <f>COUNTA('Reviewer 5 Review'!$D$8:$D$20)</f>
        <v/>
      </c>
      <c r="E10" s="24">
        <f>COUNTA('Reviewer 5 To-Do'!$A$9:$A$9)</f>
        <v/>
      </c>
      <c r="F10" s="24">
        <f>COUNTIF('Reviewer 5 To-Do'!$H$9:$H$9,"Done")</f>
        <v/>
      </c>
      <c r="G10" s="24">
        <f>COUNTIF('Reviewer 5 To-Do'!$H$9:$H$9,"In Progress")</f>
        <v/>
      </c>
      <c r="H10" s="24">
        <f>COUNTIF('Reviewer 5 To-Do'!$H$9:$H$9,"Not Started")</f>
        <v/>
      </c>
      <c r="I10" s="85">
        <f>COUNTIF('Reviewer 5 To-Do'!$H$9:$H$9,"Not Applicable")</f>
        <v/>
      </c>
      <c r="J10" s="81" t="n"/>
      <c r="K10" s="81" t="n"/>
      <c r="L10" s="81" t="n"/>
      <c r="M10" s="81" t="n"/>
      <c r="N10" s="81" t="n"/>
      <c r="O10" s="81" t="n"/>
      <c r="P10" s="81" t="n"/>
      <c r="Q10" s="81" t="n"/>
      <c r="R10" s="81" t="n"/>
    </row>
    <row r="11" ht="26" customHeight="1">
      <c r="A11" s="89" t="inlineStr">
        <is>
          <t>Reviewer #6</t>
        </is>
      </c>
      <c r="B11" s="90" t="inlineStr">
        <is>
          <t>Borderline Paper</t>
        </is>
      </c>
      <c r="C11" s="90" t="inlineStr">
        <is>
          <t>High</t>
        </is>
      </c>
      <c r="D11" s="90">
        <f>COUNTA('Reviewer 6 Review'!$D$8:$D$18)</f>
        <v/>
      </c>
      <c r="E11" s="90">
        <f>COUNTA('Reviewer 6 To-Do'!$A$9:$A$11)</f>
        <v/>
      </c>
      <c r="F11" s="90">
        <f>COUNTIF('Reviewer 6 To-Do'!$H$9:$H$11,"Done")</f>
        <v/>
      </c>
      <c r="G11" s="90">
        <f>COUNTIF('Reviewer 6 To-Do'!$H$9:$H$11,"In Progress")</f>
        <v/>
      </c>
      <c r="H11" s="90">
        <f>COUNTIF('Reviewer 6 To-Do'!$H$9:$H$11,"Not Started")</f>
        <v/>
      </c>
      <c r="I11" s="87">
        <f>COUNTIF('Reviewer 6 To-Do'!$H$9:$H$11,"Not Applicable")</f>
        <v/>
      </c>
      <c r="J11" s="81" t="n"/>
      <c r="K11" s="81" t="n"/>
      <c r="L11" s="81" t="n"/>
      <c r="M11" s="81" t="n"/>
      <c r="N11" s="81" t="n"/>
      <c r="O11" s="81" t="n"/>
      <c r="P11" s="81" t="n"/>
      <c r="Q11" s="81" t="n"/>
      <c r="R11" s="81" t="n"/>
    </row>
    <row r="12">
      <c r="A12" s="81" t="n"/>
      <c r="B12" s="81" t="n"/>
      <c r="C12" s="81" t="n"/>
      <c r="D12" s="81" t="n"/>
      <c r="E12" s="81" t="n"/>
      <c r="F12" s="81" t="n"/>
      <c r="G12" s="81" t="n"/>
      <c r="H12" s="81" t="n"/>
      <c r="I12" s="81" t="n"/>
      <c r="J12" s="81" t="n"/>
      <c r="K12" s="81" t="n"/>
      <c r="L12" s="81" t="n"/>
      <c r="M12" s="81" t="n"/>
      <c r="N12" s="81" t="n"/>
      <c r="O12" s="81" t="n"/>
      <c r="P12" s="81" t="n"/>
      <c r="Q12" s="81" t="n"/>
      <c r="R12" s="81" t="n"/>
    </row>
    <row r="13">
      <c r="A13" s="81" t="n"/>
      <c r="B13" s="81" t="n"/>
      <c r="C13" s="81" t="n"/>
      <c r="D13" s="81" t="n"/>
      <c r="E13" s="81" t="n"/>
      <c r="F13" s="81" t="n"/>
      <c r="G13" s="81" t="n"/>
      <c r="H13" s="81" t="n"/>
      <c r="I13" s="81" t="n"/>
      <c r="J13" s="81" t="n"/>
      <c r="K13" s="81" t="n"/>
      <c r="L13" s="81" t="n"/>
      <c r="M13" s="81" t="n"/>
      <c r="N13" s="81" t="n"/>
      <c r="O13" s="81" t="n"/>
      <c r="P13" s="81" t="n"/>
      <c r="Q13" s="81" t="n"/>
      <c r="R13" s="81" t="n"/>
    </row>
    <row r="14">
      <c r="A14" s="134" t="inlineStr">
        <is>
          <t>How to use the tracker</t>
        </is>
      </c>
      <c r="B14" s="1" t="n"/>
      <c r="C14" s="1" t="n"/>
      <c r="D14" s="81" t="n"/>
      <c r="E14" s="81" t="n"/>
      <c r="F14" s="81" t="n"/>
      <c r="G14" s="81" t="n"/>
      <c r="H14" s="81" t="n"/>
      <c r="I14" s="81" t="n"/>
      <c r="J14" s="81" t="n"/>
      <c r="K14" s="81" t="n"/>
      <c r="L14" s="81" t="n"/>
      <c r="M14" s="81" t="n"/>
      <c r="N14" s="81" t="n"/>
      <c r="O14" s="81" t="n"/>
      <c r="P14" s="81" t="n"/>
      <c r="Q14" s="81" t="n"/>
      <c r="R14" s="81" t="n"/>
    </row>
    <row r="15">
      <c r="A15" s="94" t="inlineStr">
        <is>
          <t>1</t>
        </is>
      </c>
      <c r="B15" s="95" t="inlineStr">
        <is>
          <t>Read</t>
        </is>
      </c>
      <c r="C15" s="85" t="inlineStr">
        <is>
          <t>Use each Review sheet for the complete verbatim reviewer feedback.</t>
        </is>
      </c>
      <c r="D15" s="81" t="n"/>
      <c r="E15" s="81" t="n"/>
      <c r="F15" s="81" t="n"/>
      <c r="G15" s="81" t="n"/>
      <c r="H15" s="81" t="n"/>
      <c r="I15" s="81" t="n"/>
      <c r="J15" s="81" t="n"/>
      <c r="K15" s="81" t="n"/>
      <c r="L15" s="81" t="n"/>
      <c r="M15" s="81" t="n"/>
      <c r="N15" s="81" t="n"/>
      <c r="O15" s="81" t="n"/>
      <c r="P15" s="81" t="n"/>
      <c r="Q15" s="81" t="n"/>
      <c r="R15" s="81" t="n"/>
    </row>
    <row r="16">
      <c r="A16" s="94" t="inlineStr">
        <is>
          <t>2</t>
        </is>
      </c>
      <c r="B16" s="95" t="inlineStr">
        <is>
          <t>Plan</t>
        </is>
      </c>
      <c r="C16" s="85" t="inlineStr">
        <is>
          <t>Use each To-Do sheet for the extracted revision tasks.</t>
        </is>
      </c>
      <c r="D16" s="81" t="n"/>
      <c r="E16" s="81" t="n"/>
      <c r="F16" s="81" t="n"/>
      <c r="G16" s="81" t="n"/>
      <c r="H16" s="81" t="n"/>
      <c r="I16" s="81" t="n"/>
      <c r="J16" s="81" t="n"/>
      <c r="K16" s="81" t="n"/>
      <c r="L16" s="81" t="n"/>
      <c r="M16" s="81" t="n"/>
      <c r="N16" s="81" t="n"/>
      <c r="O16" s="81" t="n"/>
      <c r="P16" s="81" t="n"/>
      <c r="Q16" s="81" t="n"/>
      <c r="R16" s="81" t="n"/>
    </row>
    <row r="17">
      <c r="A17" s="94" t="inlineStr">
        <is>
          <t>3</t>
        </is>
      </c>
      <c r="B17" s="95" t="inlineStr">
        <is>
          <t>Track</t>
        </is>
      </c>
      <c r="C17" s="85" t="inlineStr">
        <is>
          <t>Update Priority, Status, Author Response / Change Made, and Paper Section / Location.</t>
        </is>
      </c>
      <c r="D17" s="81" t="n"/>
      <c r="E17" s="81" t="n"/>
      <c r="F17" s="81" t="n"/>
      <c r="G17" s="81" t="n"/>
      <c r="H17" s="81" t="n"/>
      <c r="I17" s="81" t="n"/>
      <c r="J17" s="81" t="n"/>
      <c r="K17" s="81" t="n"/>
      <c r="L17" s="81" t="n"/>
      <c r="M17" s="81" t="n"/>
      <c r="N17" s="81" t="n"/>
      <c r="O17" s="81" t="n"/>
      <c r="P17" s="81" t="n"/>
      <c r="Q17" s="81" t="n"/>
      <c r="R17" s="81" t="n"/>
    </row>
    <row r="18">
      <c r="A18" s="96" t="inlineStr">
        <is>
          <t>4</t>
        </is>
      </c>
      <c r="B18" s="97" t="inlineStr">
        <is>
          <t>Respond</t>
        </is>
      </c>
      <c r="C18" s="87" t="inlineStr">
        <is>
          <t>Keep the reviewer quotation unchanged and write your response in the editable columns.</t>
        </is>
      </c>
      <c r="D18" s="81" t="n"/>
      <c r="E18" s="81" t="n"/>
      <c r="F18" s="81" t="n"/>
      <c r="G18" s="81" t="n"/>
      <c r="H18" s="81" t="n"/>
      <c r="I18" s="81" t="n"/>
      <c r="J18" s="81" t="n"/>
      <c r="K18" s="81" t="n"/>
      <c r="L18" s="81" t="n"/>
      <c r="M18" s="81" t="n"/>
      <c r="N18" s="81" t="n"/>
      <c r="O18" s="81" t="n"/>
      <c r="P18" s="81" t="n"/>
      <c r="Q18" s="81" t="n"/>
      <c r="R18" s="81" t="n"/>
    </row>
    <row r="19">
      <c r="A19" s="81" t="n"/>
      <c r="B19" s="81" t="n"/>
      <c r="C19" s="81" t="n"/>
      <c r="D19" s="81" t="n"/>
      <c r="E19" s="81" t="n"/>
      <c r="F19" s="81" t="n"/>
      <c r="G19" s="81" t="n"/>
      <c r="H19" s="81" t="n"/>
      <c r="I19" s="81" t="n"/>
      <c r="J19" s="81" t="n"/>
      <c r="K19" s="81" t="n"/>
      <c r="L19" s="81" t="n"/>
      <c r="M19" s="81" t="n"/>
      <c r="N19" s="81" t="n"/>
      <c r="O19" s="81" t="n"/>
      <c r="P19" s="81" t="n"/>
      <c r="Q19" s="81" t="n"/>
      <c r="R19" s="81" t="n"/>
    </row>
    <row r="20">
      <c r="A20" s="81" t="n"/>
      <c r="B20" s="81" t="n"/>
      <c r="C20" s="81" t="n"/>
      <c r="D20" s="81" t="n"/>
      <c r="E20" s="81" t="n"/>
      <c r="F20" s="81" t="n"/>
      <c r="G20" s="81" t="n"/>
      <c r="H20" s="81" t="n"/>
      <c r="I20" s="81" t="n"/>
      <c r="J20" s="81" t="n"/>
      <c r="K20" s="81" t="n"/>
      <c r="L20" s="81" t="n"/>
      <c r="M20" s="81" t="n"/>
      <c r="N20" s="81" t="n"/>
      <c r="O20" s="81" t="n"/>
      <c r="P20" s="81" t="n"/>
      <c r="Q20" s="81" t="n"/>
      <c r="R20" s="81" t="n"/>
    </row>
    <row r="21">
      <c r="A21" s="81" t="n"/>
      <c r="B21" s="81" t="n"/>
      <c r="C21" s="81" t="n"/>
      <c r="D21" s="81" t="n"/>
      <c r="E21" s="81" t="n"/>
      <c r="F21" s="81" t="n"/>
      <c r="G21" s="81" t="n"/>
      <c r="H21" s="81" t="n"/>
      <c r="I21" s="81" t="n"/>
      <c r="J21" s="81" t="n"/>
      <c r="K21" s="81" t="n"/>
      <c r="L21" s="81" t="n"/>
      <c r="M21" s="81" t="n"/>
      <c r="N21" s="81" t="n"/>
      <c r="O21" s="81" t="n"/>
      <c r="P21" s="81" t="n"/>
      <c r="Q21" s="81" t="n"/>
      <c r="R21" s="81" t="n"/>
    </row>
    <row r="22">
      <c r="A22" s="81" t="n"/>
      <c r="B22" s="81" t="n"/>
      <c r="C22" s="81" t="n"/>
      <c r="D22" s="81" t="n"/>
      <c r="E22" s="81" t="n"/>
      <c r="F22" s="81" t="n"/>
      <c r="G22" s="81" t="n"/>
      <c r="H22" s="81" t="n"/>
      <c r="I22" s="81" t="n"/>
      <c r="J22" s="81" t="n"/>
      <c r="K22" s="81" t="n"/>
      <c r="L22" s="81" t="n"/>
      <c r="M22" s="81" t="n"/>
      <c r="N22" s="81" t="n"/>
      <c r="O22" s="81" t="n"/>
      <c r="P22" s="81" t="n"/>
      <c r="Q22" s="81" t="n"/>
      <c r="R22" s="81" t="n"/>
    </row>
    <row r="23">
      <c r="A23" s="81" t="n"/>
      <c r="B23" s="81" t="n"/>
      <c r="C23" s="81" t="n"/>
      <c r="D23" s="81" t="n"/>
      <c r="E23" s="81" t="n"/>
      <c r="F23" s="81" t="n"/>
      <c r="G23" s="81" t="n"/>
      <c r="H23" s="81" t="n"/>
      <c r="I23" s="81" t="n"/>
      <c r="J23" s="81" t="n"/>
      <c r="K23" s="81" t="n"/>
      <c r="L23" s="81" t="n"/>
      <c r="M23" s="81" t="n"/>
      <c r="N23" s="81" t="n"/>
      <c r="O23" s="81" t="n"/>
      <c r="P23" s="81" t="n"/>
      <c r="Q23" s="81" t="n"/>
      <c r="R23" s="81" t="n"/>
    </row>
  </sheetData>
  <mergeCells count="4">
    <mergeCell ref="A1:I1"/>
    <mergeCell ref="E3:I3"/>
    <mergeCell ref="A14:C14"/>
    <mergeCell ref="B4:I4"/>
  </mergeCells>
  <pageMargins left="0.7" right="0.7" top="0.75" bottom="0.75" header="0.3" footer="0.3"/>
  <drawing xmlns:r="http://schemas.openxmlformats.org/officeDocument/2006/relationships" r:id="rId1"/>
  <tableParts count="1">
    <tablePart xmlns:r="http://schemas.openxmlformats.org/officeDocument/2006/relationships" r:id="rId2"/>
  </tableParts>
</worksheet>
</file>

<file path=xl/worksheets/sheet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24" customWidth="1" min="1" max="1"/>
    <col width="10" customWidth="1" min="2" max="2"/>
    <col width="12" customWidth="1" min="3" max="3"/>
    <col width="95" customWidth="1" min="4" max="4"/>
  </cols>
  <sheetData>
    <row r="1" ht="30" customHeight="1">
      <c r="A1" s="9" t="inlineStr">
        <is>
          <t>Reviewer #3 — Complete Review (Verbatim)</t>
        </is>
      </c>
      <c r="B1" s="1" t="n"/>
      <c r="C1" s="1" t="n"/>
      <c r="D1" s="1" t="n"/>
    </row>
    <row r="3">
      <c r="A3" s="12" t="inlineStr">
        <is>
          <t>Overall Evaluation</t>
        </is>
      </c>
      <c r="B3" s="18" t="inlineStr">
        <is>
          <t>Accept</t>
        </is>
      </c>
      <c r="C3" s="19" t="inlineStr">
        <is>
          <t>Confidence</t>
        </is>
      </c>
      <c r="D3" s="18" t="inlineStr">
        <is>
          <t>High</t>
        </is>
      </c>
    </row>
    <row r="4">
      <c r="A4" s="12" t="inlineStr">
        <is>
          <t>Paper Type</t>
        </is>
      </c>
      <c r="B4" s="22" t="inlineStr">
        <is>
          <t>Should be accepted as a Long Paper</t>
        </is>
      </c>
      <c r="C4" s="1" t="n"/>
      <c r="D4" s="1" t="n"/>
    </row>
    <row r="6">
      <c r="A6" s="61" t="inlineStr">
        <is>
          <t>All wording below is copied directly from the uploaded review text.</t>
        </is>
      </c>
      <c r="B6" s="1" t="n"/>
      <c r="C6" s="1" t="n"/>
      <c r="D6" s="1" t="n"/>
    </row>
    <row r="7" ht="32" customHeight="1">
      <c r="A7" s="36" t="inlineStr">
        <is>
          <t>Section</t>
        </is>
      </c>
      <c r="B7" s="37" t="inlineStr">
        <is>
          <t>Point #</t>
        </is>
      </c>
      <c r="C7" s="37" t="inlineStr">
        <is>
          <t>Source Line</t>
        </is>
      </c>
      <c r="D7" s="38" t="inlineStr">
        <is>
          <t>Verbatim Reviewer Text</t>
        </is>
      </c>
    </row>
    <row r="8" ht="78" customHeight="1">
      <c r="A8" s="120" t="inlineStr">
        <is>
          <t>Paper Summary</t>
        </is>
      </c>
      <c r="B8" s="124" t="n">
        <v>1</v>
      </c>
      <c r="C8" s="124" t="n">
        <v>19</v>
      </c>
      <c r="D8" s="85" t="inlineStr">
        <is>
          <t>The paper presents LegalGraph-LJP, a heterogeneous graph framework that predicts outcomes of Indian High Court cases by modeling judgments as structured legal knowledge graphs. Using a dataset of over 73,000 multi-hearing cases across five domains, the approach constructs typed nodes for statutes, precedents, arguments, and actors, then applies a Heterogeneous Graph Transformer to achieve 80.6% accuracy. The framework includes leakage-aware preprocessing to prevent outcome shortcuts and provides counterfactual-based explainability that outperforms black-box LLMs like InLegalLlama (62.5% accuracy). Temporal analysis across hearings shows the model self-corrects 74.5% of initially wrong predictions as new evidence accumulates structurally.</t>
        </is>
      </c>
    </row>
    <row r="9" ht="42" customHeight="1">
      <c r="A9" s="120" t="inlineStr">
        <is>
          <t>Strengths</t>
        </is>
      </c>
      <c r="B9" s="124" t="n">
        <v>1</v>
      </c>
      <c r="C9" s="124" t="n">
        <v>21</v>
      </c>
      <c r="D9" s="85" t="inlineStr">
        <is>
          <t>- The paper is well-written, with clear sentence structures and minimal ambiguity. Technical terms are defined.</t>
        </is>
      </c>
    </row>
    <row r="10" ht="42" customHeight="1">
      <c r="A10" s="120" t="inlineStr">
        <is>
          <t>Strengths</t>
        </is>
      </c>
      <c r="B10" s="124" t="n">
        <v>2</v>
      </c>
      <c r="C10" s="124" t="n">
        <v>22</v>
      </c>
      <c r="D10" s="85" t="inlineStr">
        <is>
          <t>- Strong empirical results</t>
        </is>
      </c>
    </row>
    <row r="11" ht="42" customHeight="1">
      <c r="A11" s="120" t="inlineStr">
        <is>
          <t>Strengths</t>
        </is>
      </c>
      <c r="B11" s="124" t="n">
        <v>3</v>
      </c>
      <c r="C11" s="124" t="n">
        <v>23</v>
      </c>
      <c r="D11" s="85" t="inlineStr">
        <is>
          <t>- The analysis of 309 multi-hearing cases showing 74.5% self-correction rate from first hearing to final outcome is novel and practically valuable for legal practitioners.</t>
        </is>
      </c>
    </row>
    <row r="12" ht="42" customHeight="1">
      <c r="A12" s="120" t="inlineStr">
        <is>
          <t>Weaknesses</t>
        </is>
      </c>
      <c r="B12" s="124" t="n">
        <v>1</v>
      </c>
      <c r="C12" s="124" t="n">
        <v>25</v>
      </c>
      <c r="D12" s="85" t="inlineStr">
        <is>
          <t>- Outcome labels are LLM-derived (weak supervision)</t>
        </is>
      </c>
    </row>
    <row r="13" ht="42" customHeight="1">
      <c r="A13" s="120" t="inlineStr">
        <is>
          <t>Weaknesses</t>
        </is>
      </c>
      <c r="B13" s="124" t="n">
        <v>2</v>
      </c>
      <c r="C13" s="124" t="n">
        <v>26</v>
      </c>
      <c r="D13" s="85" t="inlineStr">
        <is>
          <t>- No cross-jurisdiction or cross-domain validation</t>
        </is>
      </c>
    </row>
    <row r="14" ht="42" customHeight="1">
      <c r="A14" s="120" t="inlineStr">
        <is>
          <t>Weaknesses</t>
        </is>
      </c>
      <c r="B14" s="124" t="n">
        <v>3</v>
      </c>
      <c r="C14" s="124" t="n">
        <v>27</v>
      </c>
      <c r="D14" s="85" t="inlineStr">
        <is>
          <t>- Limited comparison against non-LLM baselines</t>
        </is>
      </c>
    </row>
    <row r="15" ht="42" customHeight="1">
      <c r="A15" s="120" t="inlineStr">
        <is>
          <t>Weaknesses</t>
        </is>
      </c>
      <c r="B15" s="124" t="n">
        <v>4</v>
      </c>
      <c r="C15" s="124" t="n">
        <v>28</v>
      </c>
      <c r="D15" s="85" t="inlineStr">
        <is>
          <t>- HGT architecture choice is not ablated</t>
        </is>
      </c>
    </row>
    <row r="16" ht="42" customHeight="1">
      <c r="A16" s="120" t="inlineStr">
        <is>
          <t>Overall evaluation</t>
        </is>
      </c>
      <c r="B16" s="124" t="n">
        <v>1</v>
      </c>
      <c r="C16" s="124" t="n">
        <v>30</v>
      </c>
      <c r="D16" s="85" t="inlineStr">
        <is>
          <t>Accept</t>
        </is>
      </c>
    </row>
    <row r="17" ht="42" customHeight="1">
      <c r="A17" s="120" t="inlineStr">
        <is>
          <t>Detailed Comments</t>
        </is>
      </c>
      <c r="B17" s="124" t="n">
        <v>1</v>
      </c>
      <c r="C17" s="124" t="n">
        <v>32</v>
      </c>
      <c r="D17" s="85" t="inlineStr">
        <is>
          <t>- The paper uses HGT [8] but does not compare against simpler GNNs (GCN, GraphSAGE, GAT) on the same graph. It is unclear whether the complexity of heterogeneous attention is necessary or a simpler model would suffice.</t>
        </is>
      </c>
    </row>
    <row r="18" ht="42" customHeight="1">
      <c r="A18" s="120" t="inlineStr">
        <is>
          <t>Detailed Comments</t>
        </is>
      </c>
      <c r="B18" s="124" t="n">
        <v>2</v>
      </c>
      <c r="C18" s="124" t="n">
        <v>33</v>
      </c>
      <c r="D18" s="85" t="inlineStr">
        <is>
          <t>- The paper compares against InLegalLlama (generative LLM) and text-only ablations, but not against simpler baselines such as SVM on TF-IDF, Logistic Regression on entity counts, or XGBoost. The absolute improvement over a trivial baseline is not shown.</t>
        </is>
      </c>
    </row>
    <row r="19" ht="42" customHeight="1">
      <c r="A19" s="120" t="inlineStr">
        <is>
          <t>Detailed Comments</t>
        </is>
      </c>
      <c r="B19" s="124" t="n">
        <v>3</v>
      </c>
      <c r="C19" s="124" t="n">
        <v>34</v>
      </c>
      <c r="D19" s="85" t="inlineStr">
        <is>
          <t>- The model is trained and tested only on Indian High Court cases. Whether the graph architecture generalizes to other common law systems (UK, US, Canada) or to trial-level judgments is untested.</t>
        </is>
      </c>
    </row>
    <row r="20" ht="42" customHeight="1">
      <c r="A20" s="120" t="inlineStr">
        <is>
          <t>Paper Type (if accepted)</t>
        </is>
      </c>
      <c r="B20" s="124" t="n">
        <v>1</v>
      </c>
      <c r="C20" s="124" t="n">
        <v>36</v>
      </c>
      <c r="D20" s="85" t="inlineStr">
        <is>
          <t>Should be accepted as a Long Paper</t>
        </is>
      </c>
    </row>
    <row r="21" ht="42" customHeight="1">
      <c r="A21" s="121" t="inlineStr">
        <is>
          <t>Reviewer's confidence</t>
        </is>
      </c>
      <c r="B21" s="125" t="n">
        <v>1</v>
      </c>
      <c r="C21" s="125" t="n">
        <v>38</v>
      </c>
      <c r="D21" s="87" t="inlineStr">
        <is>
          <t>High</t>
        </is>
      </c>
    </row>
  </sheetData>
  <mergeCells count="3">
    <mergeCell ref="A1:D1"/>
    <mergeCell ref="B4:D4"/>
    <mergeCell ref="A6:D6"/>
  </mergeCell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cols>
    <col width="11" customWidth="1" min="1" max="1"/>
    <col width="24" customWidth="1" min="2" max="2"/>
    <col width="24" customWidth="1" min="3" max="3"/>
    <col width="14" customWidth="1" min="4" max="4"/>
    <col width="78" customWidth="1" min="5" max="5"/>
    <col width="52" customWidth="1" min="6" max="6"/>
    <col width="12" customWidth="1" min="7" max="7"/>
    <col width="16" customWidth="1" min="8" max="8"/>
    <col width="48" customWidth="1" min="9" max="9"/>
    <col width="28" customWidth="1" min="10" max="10"/>
  </cols>
  <sheetData>
    <row r="1" ht="30" customHeight="1">
      <c r="A1" s="9" t="inlineStr">
        <is>
          <t>Reviewer #3 — Revision To-Do Tracker</t>
        </is>
      </c>
      <c r="B1" s="1" t="n"/>
      <c r="C1" s="1" t="n"/>
      <c r="D1" s="1" t="n"/>
      <c r="E1" s="1" t="n"/>
      <c r="F1" s="1" t="n"/>
      <c r="G1" s="1" t="n"/>
      <c r="H1" s="1" t="n"/>
      <c r="I1" s="1" t="n"/>
      <c r="J1" s="1" t="n"/>
    </row>
    <row r="3">
      <c r="A3" s="12" t="inlineStr">
        <is>
          <t>Overall Evaluation</t>
        </is>
      </c>
      <c r="B3" s="18" t="inlineStr">
        <is>
          <t>Accept</t>
        </is>
      </c>
      <c r="C3" s="12" t="inlineStr">
        <is>
          <t>Confidence</t>
        </is>
      </c>
      <c r="D3" t="inlineStr">
        <is>
          <t>High</t>
        </is>
      </c>
      <c r="E3" s="12" t="inlineStr">
        <is>
          <t>Total Tasks</t>
        </is>
      </c>
      <c r="F3">
        <f>COUNTA(A9:A12)</f>
        <v/>
      </c>
      <c r="G3" s="12" t="inlineStr">
        <is>
          <t>Done</t>
        </is>
      </c>
      <c r="H3">
        <f>COUNTIF(H9:H12,"Done")</f>
        <v/>
      </c>
      <c r="I3" s="12" t="inlineStr">
        <is>
          <t>Completion</t>
        </is>
      </c>
      <c r="J3" s="135">
        <f>IF(F3=0,0,H3/F3)</f>
        <v/>
      </c>
    </row>
    <row r="5">
      <c r="A5" s="61" t="inlineStr">
        <is>
          <t>Reviewer quotations are verbatim. Update only the tracking, response, and paper-location columns.</t>
        </is>
      </c>
      <c r="B5" s="1" t="n"/>
      <c r="C5" s="1" t="n"/>
      <c r="D5" s="1" t="n"/>
      <c r="E5" s="1" t="n"/>
      <c r="F5" s="1" t="n"/>
      <c r="G5" s="1" t="n"/>
      <c r="H5" s="1" t="n"/>
      <c r="I5" s="1" t="n"/>
      <c r="J5" s="1" t="n"/>
    </row>
    <row r="8" ht="42" customHeight="1">
      <c r="A8" s="36" t="inlineStr">
        <is>
          <t>Task ID</t>
        </is>
      </c>
      <c r="B8" s="37" t="inlineStr">
        <is>
          <t>Category</t>
        </is>
      </c>
      <c r="C8" s="37" t="inlineStr">
        <is>
          <t>Source Section</t>
        </is>
      </c>
      <c r="D8" s="37" t="inlineStr">
        <is>
          <t>Source Line(s)</t>
        </is>
      </c>
      <c r="E8" s="37" t="inlineStr">
        <is>
          <t>Verbatim Reviewer Point</t>
        </is>
      </c>
      <c r="F8" s="37" t="inlineStr">
        <is>
          <t>Suggested Action</t>
        </is>
      </c>
      <c r="G8" s="37" t="inlineStr">
        <is>
          <t>Priority</t>
        </is>
      </c>
      <c r="H8" s="37" t="inlineStr">
        <is>
          <t>Status</t>
        </is>
      </c>
      <c r="I8" s="37" t="inlineStr">
        <is>
          <t>Author Response / Change Made</t>
        </is>
      </c>
      <c r="J8" s="38" t="inlineStr">
        <is>
          <t>Paper Section / Location</t>
        </is>
      </c>
    </row>
    <row r="9" ht="72" customHeight="1">
      <c r="A9" s="52" t="inlineStr">
        <is>
          <t>R3-01</t>
        </is>
      </c>
      <c r="B9" s="130" t="inlineStr">
        <is>
          <t>Label quality</t>
        </is>
      </c>
      <c r="C9" s="18" t="inlineStr">
        <is>
          <t>Weaknesses</t>
        </is>
      </c>
      <c r="D9" s="18" t="inlineStr">
        <is>
          <t>25</t>
        </is>
      </c>
      <c r="E9" s="24" t="inlineStr">
        <is>
          <t>- Outcome labels are LLM-derived (weak supervision)</t>
        </is>
      </c>
      <c r="F9" s="24" t="inlineStr">
        <is>
          <t>Add a clear label-generation and validation description, including a human-checked subset or an explicit limitation.</t>
        </is>
      </c>
      <c r="G9" s="18" t="inlineStr">
        <is>
          <t>High</t>
        </is>
      </c>
      <c r="H9" s="18" t="inlineStr">
        <is>
          <t>Not Started</t>
        </is>
      </c>
      <c r="I9" s="24" t="str"/>
      <c r="J9" s="85" t="str"/>
    </row>
    <row r="10" ht="72" customHeight="1">
      <c r="A10" s="52" t="inlineStr">
        <is>
          <t>R3-02</t>
        </is>
      </c>
      <c r="B10" s="130" t="inlineStr">
        <is>
          <t>Generalization</t>
        </is>
      </c>
      <c r="C10" s="18" t="inlineStr">
        <is>
          <t>Weaknesses + Detailed Comments</t>
        </is>
      </c>
      <c r="D10" s="18" t="inlineStr">
        <is>
          <t>26, 34</t>
        </is>
      </c>
      <c r="E10" s="24" t="inlineStr">
        <is>
          <t>- No cross-jurisdiction or cross-domain validation
- The model is trained and tested only on Indian High Court cases. Whether the graph architecture generalizes to other common law systems (UK, US, Canada) or to trial-level judgments is untested.</t>
        </is>
      </c>
      <c r="F10" s="24" t="inlineStr">
        <is>
          <t>Add cross-domain/cross-jurisdiction evidence where feasible, or clearly narrow the generalization claim and state this limitation.</t>
        </is>
      </c>
      <c r="G10" s="18" t="inlineStr">
        <is>
          <t>High</t>
        </is>
      </c>
      <c r="H10" s="18" t="inlineStr">
        <is>
          <t>Not Started</t>
        </is>
      </c>
      <c r="I10" s="24" t="str"/>
      <c r="J10" s="85" t="str"/>
    </row>
    <row r="11" ht="72" customHeight="1">
      <c r="A11" s="52" t="inlineStr">
        <is>
          <t>R3-03</t>
        </is>
      </c>
      <c r="B11" s="130" t="inlineStr">
        <is>
          <t>Baselines &amp; comparisons</t>
        </is>
      </c>
      <c r="C11" s="18" t="inlineStr">
        <is>
          <t>Weaknesses + Detailed Comments</t>
        </is>
      </c>
      <c r="D11" s="18" t="inlineStr">
        <is>
          <t>27, 33</t>
        </is>
      </c>
      <c r="E11" s="24" t="inlineStr">
        <is>
          <t>- Limited comparison against non-LLM baselines
- The paper compares against InLegalLlama (generative LLM) and text-only ablations, but not against simpler baselines such as SVM on TF-IDF, Logistic Regression on entity counts, or XGBoost. The absolute improvement over a trivial baseline is not shown.</t>
        </is>
      </c>
      <c r="F11" s="24" t="inlineStr">
        <is>
          <t>Add simple non-LLM baselines and report the absolute improvement over them.</t>
        </is>
      </c>
      <c r="G11" s="18" t="inlineStr">
        <is>
          <t>High</t>
        </is>
      </c>
      <c r="H11" s="18" t="inlineStr">
        <is>
          <t>Not Started</t>
        </is>
      </c>
      <c r="I11" s="24" t="str"/>
      <c r="J11" s="85" t="str"/>
    </row>
    <row r="12" ht="72" customHeight="1">
      <c r="A12" s="53" t="inlineStr">
        <is>
          <t>R3-04</t>
        </is>
      </c>
      <c r="B12" s="131" t="inlineStr">
        <is>
          <t>Ablations &amp; architecture</t>
        </is>
      </c>
      <c r="C12" s="42" t="inlineStr">
        <is>
          <t>Weaknesses + Detailed Comments</t>
        </is>
      </c>
      <c r="D12" s="42" t="inlineStr">
        <is>
          <t>28, 32</t>
        </is>
      </c>
      <c r="E12" s="90" t="inlineStr">
        <is>
          <t>- HGT architecture choice is not ablated
- The paper uses HGT [8] but does not compare against simpler GNNs (GCN, GraphSAGE, GAT) on the same graph. It is unclear whether the complexity of heterogeneous attention is necessary or a simpler model would suffice.</t>
        </is>
      </c>
      <c r="F12" s="90" t="inlineStr">
        <is>
          <t>Compare HGT with simpler GNN architectures or justify why this ablation cannot be added.</t>
        </is>
      </c>
      <c r="G12" s="42" t="inlineStr">
        <is>
          <t>High</t>
        </is>
      </c>
      <c r="H12" s="42" t="inlineStr">
        <is>
          <t>Not Started</t>
        </is>
      </c>
      <c r="I12" s="90" t="str"/>
      <c r="J12" s="87" t="str"/>
    </row>
  </sheetData>
  <mergeCells count="2">
    <mergeCell ref="A1:J1"/>
    <mergeCell ref="A5:J5"/>
  </mergeCells>
  <conditionalFormatting sqref="H9:H12">
    <cfRule type="expression" priority="1" dxfId="0">
      <formula>H9="Done"</formula>
    </cfRule>
    <cfRule type="expression" priority="2" dxfId="1">
      <formula>H9="In Progress"</formula>
    </cfRule>
    <cfRule type="expression" priority="3" dxfId="2">
      <formula>H9="Not Started"</formula>
    </cfRule>
    <cfRule type="expression" priority="4" dxfId="3">
      <formula>H9="Not Applicable"</formula>
    </cfRule>
  </conditionalFormatting>
  <dataValidations count="2">
    <dataValidation sqref="G9:G12" showDropDown="0" showInputMessage="0" showErrorMessage="0" allowBlank="0" type="list">
      <formula1>"High,Medium,Low"</formula1>
    </dataValidation>
    <dataValidation sqref="H9:H12" showDropDown="0" showInputMessage="0" showErrorMessage="0" allowBlank="0" type="list">
      <formula1>"Not Started,In Progress,Done,Not Applicable"</formula1>
    </dataValidation>
  </dataValidation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D202"/>
  <sheetViews>
    <sheetView workbookViewId="0">
      <selection activeCell="A1" sqref="A1"/>
    </sheetView>
  </sheetViews>
  <sheetFormatPr baseColWidth="8" defaultRowHeight="15"/>
  <cols>
    <col width="24" customWidth="1" min="1" max="1"/>
    <col width="10" customWidth="1" min="2" max="2"/>
    <col width="12" customWidth="1" min="3" max="3"/>
    <col width="95" customWidth="1" min="4" max="4"/>
  </cols>
  <sheetData>
    <row r="1" ht="30" customHeight="1">
      <c r="A1" s="9" t="inlineStr">
        <is>
          <t>Reviewer #4 — Complete Review (Verbatim)</t>
        </is>
      </c>
      <c r="B1" s="1" t="n"/>
      <c r="C1" s="1" t="n"/>
      <c r="D1" s="1" t="n"/>
    </row>
    <row r="3">
      <c r="A3" s="12" t="inlineStr">
        <is>
          <t>Overall Evaluation</t>
        </is>
      </c>
      <c r="B3" s="18" t="inlineStr">
        <is>
          <t>Weak Reject</t>
        </is>
      </c>
      <c r="C3" s="19" t="inlineStr">
        <is>
          <t>Confidence</t>
        </is>
      </c>
      <c r="D3" s="18" t="inlineStr">
        <is>
          <t>High</t>
        </is>
      </c>
    </row>
    <row r="4">
      <c r="A4" s="12" t="inlineStr">
        <is>
          <t>Paper Type</t>
        </is>
      </c>
      <c r="B4" s="22" t="inlineStr">
        <is>
          <t>Should be accepted as a Long Paper</t>
        </is>
      </c>
      <c r="C4" s="1" t="n"/>
      <c r="D4" s="1" t="n"/>
    </row>
    <row r="6">
      <c r="A6" s="61" t="inlineStr">
        <is>
          <t>All wording below is copied directly from the uploaded review text.</t>
        </is>
      </c>
      <c r="B6" s="1" t="n"/>
      <c r="C6" s="1" t="n"/>
      <c r="D6" s="1" t="n"/>
    </row>
    <row r="7" ht="32" customHeight="1">
      <c r="A7" s="36" t="inlineStr">
        <is>
          <t>Section</t>
        </is>
      </c>
      <c r="B7" s="37" t="inlineStr">
        <is>
          <t>Point #</t>
        </is>
      </c>
      <c r="C7" s="37" t="inlineStr">
        <is>
          <t>Source Line</t>
        </is>
      </c>
      <c r="D7" s="38" t="inlineStr">
        <is>
          <t>Verbatim Reviewer Text</t>
        </is>
      </c>
    </row>
    <row r="8" ht="78" customHeight="1">
      <c r="A8" s="120" t="inlineStr">
        <is>
          <t>Paper Summary</t>
        </is>
      </c>
      <c r="B8" s="124" t="n">
        <v>1</v>
      </c>
      <c r="C8" s="124" t="n">
        <v>42</v>
      </c>
      <c r="D8" s="85" t="inlineStr">
        <is>
          <t>This paper presents LegalGraph-LJP, a heterogeneous graph neural network framework for Legal Judgment Prediction (LJP) on Indian High Court cases. The authors construct a graph from legal judgments using rhetorical roles, named legal entities, statutes, provisions, precedents, judges, lawyers, and argument structures. The work emphasizes leakage-aware preprocessing and explainability. The proposed framework uses a Heterogeneous Graph Transformer (HGT) and is evaluated on a newly collected dataset of approximately 72k multi-hearing Indian court cases across five legal domains. The paper also includes robustness analyses, explainability experiments, and comparison against InLegalLlama baselines.</t>
        </is>
      </c>
    </row>
    <row r="9" ht="42" customHeight="1">
      <c r="A9" s="120" t="inlineStr">
        <is>
          <t>Paper Summary</t>
        </is>
      </c>
      <c r="B9" s="124" t="n">
        <v>2</v>
      </c>
      <c r="C9" s="124" t="n">
        <v>44</v>
      </c>
      <c r="D9" s="85" t="inlineStr">
        <is>
          <t>The paper addresses an important problem in Legal NLP and judicial analytics, especially for Indian legal systems where documents are noisy, multilingual, and spread across hearings.</t>
        </is>
      </c>
    </row>
    <row r="10" ht="42" customHeight="1">
      <c r="A10" s="120" t="inlineStr">
        <is>
          <t>Strengths</t>
        </is>
      </c>
      <c r="B10" s="124" t="n">
        <v>1</v>
      </c>
      <c r="C10" s="124" t="n">
        <v>46</v>
      </c>
      <c r="D10" s="85" t="inlineStr">
        <is>
          <t>The paper tackles a highly relevant and impactful problem in Legal NLP, specifically in the underexplored Indian legal context.</t>
        </is>
      </c>
    </row>
    <row r="11" ht="42" customHeight="1">
      <c r="A11" s="120" t="inlineStr">
        <is>
          <t>Strengths</t>
        </is>
      </c>
      <c r="B11" s="124" t="n">
        <v>2</v>
      </c>
      <c r="C11" s="124" t="n">
        <v>47</v>
      </c>
      <c r="D11" s="85" t="inlineStr">
        <is>
          <t>The heterogeneous graph formulation is technically interesting and more expressive than standard text-only approaches.</t>
        </is>
      </c>
    </row>
    <row r="12" ht="42" customHeight="1">
      <c r="A12" s="120" t="inlineStr">
        <is>
          <t>Strengths</t>
        </is>
      </c>
      <c r="B12" s="124" t="n">
        <v>3</v>
      </c>
      <c r="C12" s="124" t="n">
        <v>48</v>
      </c>
      <c r="D12" s="85" t="inlineStr">
        <is>
          <t>The focus on leakage prevention is commendable and much stronger than many prior LJP works.</t>
        </is>
      </c>
    </row>
    <row r="13" ht="42" customHeight="1">
      <c r="A13" s="120" t="inlineStr">
        <is>
          <t>Strengths</t>
        </is>
      </c>
      <c r="B13" s="124" t="n">
        <v>4</v>
      </c>
      <c r="C13" s="124" t="n">
        <v>49</v>
      </c>
      <c r="D13" s="85" t="inlineStr">
        <is>
          <t>The dataset scale (~72k cases) is significant.</t>
        </is>
      </c>
    </row>
    <row r="14" ht="42" customHeight="1">
      <c r="A14" s="120" t="inlineStr">
        <is>
          <t>Strengths</t>
        </is>
      </c>
      <c r="B14" s="124" t="n">
        <v>5</v>
      </c>
      <c r="C14" s="124" t="n">
        <v>50</v>
      </c>
      <c r="D14" s="85" t="inlineStr">
        <is>
          <t>The use of rhetorical roles and legal entities for graph construction is well motivated.</t>
        </is>
      </c>
    </row>
    <row r="15" ht="42" customHeight="1">
      <c r="A15" s="120" t="inlineStr">
        <is>
          <t>Strengths</t>
        </is>
      </c>
      <c r="B15" s="124" t="n">
        <v>6</v>
      </c>
      <c r="C15" s="124" t="n">
        <v>51</v>
      </c>
      <c r="D15" s="85" t="inlineStr">
        <is>
          <t>The paper includes several robustness and explainability analyses rather than only reporting predictive performance.</t>
        </is>
      </c>
    </row>
    <row r="16" ht="42" customHeight="1">
      <c r="A16" s="120" t="inlineStr">
        <is>
          <t>Strengths</t>
        </is>
      </c>
      <c r="B16" s="124" t="n">
        <v>7</v>
      </c>
      <c r="C16" s="124" t="n">
        <v>52</v>
      </c>
      <c r="D16" s="85" t="inlineStr">
        <is>
          <t>The temporal hearing-evolution analysis is novel and potentially impactful.</t>
        </is>
      </c>
    </row>
    <row r="17" ht="42" customHeight="1">
      <c r="A17" s="120" t="inlineStr">
        <is>
          <t>Strengths</t>
        </is>
      </c>
      <c r="B17" s="124" t="n">
        <v>8</v>
      </c>
      <c r="C17" s="124" t="n">
        <v>53</v>
      </c>
      <c r="D17" s="85" t="inlineStr">
        <is>
          <t>The comparison against a legal-domain LLM baseline is useful and highlights limitations of generative systems.</t>
        </is>
      </c>
    </row>
    <row r="18" ht="42" customHeight="1">
      <c r="A18" s="120" t="inlineStr">
        <is>
          <t>Strengths</t>
        </is>
      </c>
      <c r="B18" s="124" t="n">
        <v>9</v>
      </c>
      <c r="C18" s="124" t="n">
        <v>54</v>
      </c>
      <c r="D18" s="85" t="inlineStr">
        <is>
          <t>The discussion section explicitly acknowledges limitations and ethical concerns, which is appreciated.</t>
        </is>
      </c>
    </row>
    <row r="19" ht="42" customHeight="1">
      <c r="A19" s="120" t="inlineStr">
        <is>
          <t>Strengths</t>
        </is>
      </c>
      <c r="B19" s="124" t="n">
        <v>10</v>
      </c>
      <c r="C19" s="124" t="n">
        <v>55</v>
      </c>
      <c r="D19" s="85" t="inlineStr">
        <is>
          <t>The paper is generally well written and organized.</t>
        </is>
      </c>
    </row>
    <row r="20" ht="42" customHeight="1">
      <c r="A20" s="120" t="inlineStr">
        <is>
          <t>Weaknesses</t>
        </is>
      </c>
      <c r="B20" s="124" t="n">
        <v>1</v>
      </c>
      <c r="C20" s="124" t="n">
        <v>57</v>
      </c>
      <c r="D20" s="85" t="inlineStr">
        <is>
          <t>1. Literature review is incomplete and misses several highly relevant recent works</t>
        </is>
      </c>
    </row>
    <row r="21" ht="42" customHeight="1">
      <c r="A21" s="120" t="inlineStr">
        <is>
          <t>Weaknesses</t>
        </is>
      </c>
      <c r="B21" s="124" t="n">
        <v>2</v>
      </c>
      <c r="C21" s="124" t="n">
        <v>59</v>
      </c>
      <c r="D21" s="85" t="inlineStr">
        <is>
          <t>The related work section is reasonably structured but still incomplete for a top-tier ASONAM submission. Several important recent legal reasoning, explainability, fairness, and Indian legal judgment prediction papers are missing, including:</t>
        </is>
      </c>
    </row>
    <row r="22" ht="42" customHeight="1">
      <c r="A22" s="120" t="inlineStr">
        <is>
          <t>Weaknesses</t>
        </is>
      </c>
      <c r="B22" s="124" t="n">
        <v>3</v>
      </c>
      <c r="C22" s="124" t="n">
        <v>61</v>
      </c>
      <c r="D22" s="85" t="inlineStr">
        <is>
          <t>Legalreasoner</t>
        </is>
      </c>
    </row>
    <row r="23" ht="42" customHeight="1">
      <c r="A23" s="120" t="inlineStr">
        <is>
          <t>Weaknesses</t>
        </is>
      </c>
      <c r="B23" s="124" t="n">
        <v>4</v>
      </c>
      <c r="C23" s="124" t="n">
        <v>62</v>
      </c>
      <c r="D23" s="85" t="inlineStr">
        <is>
          <t>Legal Judgment Reimagined: PredEx and the Rise of Intelligent AI Interpretation in Indian Courts</t>
        </is>
      </c>
    </row>
    <row r="24" ht="42" customHeight="1">
      <c r="A24" s="120" t="inlineStr">
        <is>
          <t>Weaknesses</t>
        </is>
      </c>
      <c r="B24" s="124" t="n">
        <v>5</v>
      </c>
      <c r="C24" s="124" t="n">
        <v>63</v>
      </c>
      <c r="D24" s="85" t="inlineStr">
        <is>
          <t>Iteratively Questioning and Answering for Interpretable Legal Judgment Prediction</t>
        </is>
      </c>
    </row>
    <row r="25" ht="42" customHeight="1">
      <c r="A25" s="120" t="inlineStr">
        <is>
          <t>Weaknesses</t>
        </is>
      </c>
      <c r="B25" s="124" t="n">
        <v>6</v>
      </c>
      <c r="C25" s="124" t="n">
        <v>64</v>
      </c>
      <c r="D25" s="85" t="inlineStr">
        <is>
          <t>Vichara: Appellate Judgment Prediction and Explanation for the Indian Judicial System</t>
        </is>
      </c>
    </row>
    <row r="26" ht="42" customHeight="1">
      <c r="A26" s="120" t="inlineStr">
        <is>
          <t>Weaknesses</t>
        </is>
      </c>
      <c r="B26" s="124" t="n">
        <v>7</v>
      </c>
      <c r="C26" s="124" t="n">
        <v>65</v>
      </c>
      <c r="D26" s="85" t="inlineStr">
        <is>
          <t>Towards Explainability and Fairness in Swiss Judgement Prediction</t>
        </is>
      </c>
    </row>
    <row r="27" ht="42" customHeight="1">
      <c r="A27" s="120" t="inlineStr">
        <is>
          <t>Weaknesses</t>
        </is>
      </c>
      <c r="B27" s="124" t="n">
        <v>8</v>
      </c>
      <c r="C27" s="124" t="n">
        <v>66</v>
      </c>
      <c r="D27" s="85" t="inlineStr">
        <is>
          <t>Tathyanyaya and FactLegalLLaMA</t>
        </is>
      </c>
    </row>
    <row r="28" ht="42" customHeight="1">
      <c r="A28" s="120" t="inlineStr">
        <is>
          <t>Weaknesses</t>
        </is>
      </c>
      <c r="B28" s="124" t="n">
        <v>9</v>
      </c>
      <c r="C28" s="124" t="n">
        <v>67</v>
      </c>
      <c r="D28" s="85" t="inlineStr">
        <is>
          <t>Exploring Graph Neural Networks for Indian Legal Judgment Prediction</t>
        </is>
      </c>
    </row>
    <row r="29" ht="42" customHeight="1">
      <c r="A29" s="120" t="inlineStr">
        <is>
          <t>Weaknesses</t>
        </is>
      </c>
      <c r="B29" s="124" t="n">
        <v>10</v>
      </c>
      <c r="C29" s="124" t="n">
        <v>69</v>
      </c>
      <c r="D29" s="85" t="inlineStr">
        <is>
          <t>These works are particularly important because they directly address:</t>
        </is>
      </c>
    </row>
    <row r="30" ht="42" customHeight="1">
      <c r="A30" s="120" t="inlineStr">
        <is>
          <t>Weaknesses</t>
        </is>
      </c>
      <c r="B30" s="124" t="n">
        <v>11</v>
      </c>
      <c r="C30" s="124" t="n">
        <v>71</v>
      </c>
      <c r="D30" s="85" t="inlineStr">
        <is>
          <t>explainability,</t>
        </is>
      </c>
    </row>
    <row r="31" ht="42" customHeight="1">
      <c r="A31" s="120" t="inlineStr">
        <is>
          <t>Weaknesses</t>
        </is>
      </c>
      <c r="B31" s="124" t="n">
        <v>12</v>
      </c>
      <c r="C31" s="124" t="n">
        <v>72</v>
      </c>
      <c r="D31" s="85" t="inlineStr">
        <is>
          <t>fairness,</t>
        </is>
      </c>
    </row>
    <row r="32" ht="42" customHeight="1">
      <c r="A32" s="120" t="inlineStr">
        <is>
          <t>Weaknesses</t>
        </is>
      </c>
      <c r="B32" s="124" t="n">
        <v>13</v>
      </c>
      <c r="C32" s="124" t="n">
        <v>73</v>
      </c>
      <c r="D32" s="85" t="inlineStr">
        <is>
          <t>reasoning verification,</t>
        </is>
      </c>
    </row>
    <row r="33" ht="42" customHeight="1">
      <c r="A33" s="120" t="inlineStr">
        <is>
          <t>Weaknesses</t>
        </is>
      </c>
      <c r="B33" s="124" t="n">
        <v>14</v>
      </c>
      <c r="C33" s="124" t="n">
        <v>74</v>
      </c>
      <c r="D33" s="85" t="inlineStr">
        <is>
          <t>graph-based legal modeling,</t>
        </is>
      </c>
    </row>
    <row r="34" ht="42" customHeight="1">
      <c r="A34" s="120" t="inlineStr">
        <is>
          <t>Weaknesses</t>
        </is>
      </c>
      <c r="B34" s="124" t="n">
        <v>15</v>
      </c>
      <c r="C34" s="124" t="n">
        <v>75</v>
      </c>
      <c r="D34" s="85" t="inlineStr">
        <is>
          <t>Indian legal prediction,</t>
        </is>
      </c>
    </row>
    <row r="35" ht="42" customHeight="1">
      <c r="A35" s="120" t="inlineStr">
        <is>
          <t>Weaknesses</t>
        </is>
      </c>
      <c r="B35" s="124" t="n">
        <v>16</v>
      </c>
      <c r="C35" s="124" t="n">
        <v>76</v>
      </c>
      <c r="D35" s="85" t="inlineStr">
        <is>
          <t>factual consistency,</t>
        </is>
      </c>
    </row>
    <row r="36" ht="42" customHeight="1">
      <c r="A36" s="120" t="inlineStr">
        <is>
          <t>Weaknesses</t>
        </is>
      </c>
      <c r="B36" s="124" t="n">
        <v>17</v>
      </c>
      <c r="C36" s="124" t="n">
        <v>77</v>
      </c>
      <c r="D36" s="85" t="inlineStr">
        <is>
          <t>interpretable legal AI.</t>
        </is>
      </c>
    </row>
    <row r="37" ht="42" customHeight="1">
      <c r="A37" s="120" t="inlineStr">
        <is>
          <t>Weaknesses</t>
        </is>
      </c>
      <c r="B37" s="124" t="n">
        <v>18</v>
      </c>
      <c r="C37" s="124" t="n">
        <v>79</v>
      </c>
      <c r="D37" s="85" t="inlineStr">
        <is>
          <t>The omission weakens the novelty positioning and research gap formulation.</t>
        </is>
      </c>
    </row>
    <row r="38" ht="42" customHeight="1">
      <c r="A38" s="120" t="inlineStr">
        <is>
          <t>Weaknesses</t>
        </is>
      </c>
      <c r="B38" s="124" t="n">
        <v>19</v>
      </c>
      <c r="C38" s="124" t="n">
        <v>81</v>
      </c>
      <c r="D38" s="85" t="inlineStr">
        <is>
          <t>I have found this but there are many more like 30 related papers:</t>
        </is>
      </c>
    </row>
    <row r="39" ht="150" customHeight="1">
      <c r="A39" s="120" t="inlineStr">
        <is>
          <t>Weaknesses</t>
        </is>
      </c>
      <c r="B39" s="124" t="n">
        <v>20</v>
      </c>
      <c r="C39" s="124" t="n">
        <v>82</v>
      </c>
      <c r="D39" s="85" t="inlineStr">
        <is>
          <t>Shi, W., Zhu, H., Ji, J., Li, M., Zhang, J., Zhang, R., ... &amp; Guo, Y. (2025, July). Legalreasoner: Step-wised verification-correction for legal judgment reasoning. In Proceedings of the 63rd Annual Meeting of the Association for Computational Linguistics (Volume 1: Long Papers) (pp. 7297-7313). Nigam, S. K., Sharma, A., Khanna, D., Shallum, N., Ghosh, K., &amp; Bhattacharya, A. (2024, August). Legal judgment reimagined: PredEx and the rise of intelligent AI interpretation in Indian courts. In Findings of the Association for Computational Linguistics: ACL 2024 (pp. 4296-4315). Zhong, H., Wang, Y., Tu, C., Zhang, T., Liu, Z., &amp; Sun, M. (2020, April). Iteratively questioning and answering for interpretable legal judgment prediction. In Proceedings of the AAAI conference on artificial intelligence (Vol. 34, No. 01, pp. 1250-1257) Nair, P. P., &amp; Anish, P. R. (2026). Vichara: Appellate Judgment Prediction and Explanation for the Indian Judicial System. arXiv preprint arXiv:2602.18346. Santosh, T. Y. S. S., Baumgartner, N., Stürmer, M., Grabmair, M., &amp; Niklaus, J. (2024, May). Towards explainability and fairness in swiss judgement prediction: Benchmarking on a multilingual dataset. In Proceedings of the 2024 Joint International Conference on Computational Linguistics, Language Resources and Evaluation (LREC-COLING 2024) (pp. 16500-16513). Nigam, S. K., Patnaik, B. D., Mishra, S., Shallum, N., Ghosh, K., &amp; Bhattacharya, A. (2025, December). Tathyanyaya and factlegalllama: Advancing factual judgment prediction and explanation in the indian legal context. In Proceedings of the 14th International Joint Conference on Natural Language Processing and the 4th Conference of the Asia-Pacific Chapter of the Association for Computational Linguistics (pp. 985-1002). Khatri, M., Yusuf, M., Kumar, Y., Ratn Shah, R., &amp; Kumaraguru, P. (2023). Exploring Graph Neural Networks for Indian Legal Judgment Prediction. arXiv e-prints, arXiv-2310.</t>
        </is>
      </c>
    </row>
    <row r="40" ht="42" customHeight="1">
      <c r="A40" s="120" t="inlineStr">
        <is>
          <t>Weaknesses</t>
        </is>
      </c>
      <c r="B40" s="124" t="n">
        <v>21</v>
      </c>
      <c r="C40" s="124" t="n">
        <v>84</v>
      </c>
      <c r="D40" s="85" t="inlineStr">
        <is>
          <t>2. Weak reproducibility despite claims of transparency</t>
        </is>
      </c>
    </row>
    <row r="41" ht="42" customHeight="1">
      <c r="A41" s="120" t="inlineStr">
        <is>
          <t>Weaknesses</t>
        </is>
      </c>
      <c r="B41" s="124" t="n">
        <v>22</v>
      </c>
      <c r="C41" s="124" t="n">
        <v>86</v>
      </c>
      <c r="D41" s="85" t="inlineStr">
        <is>
          <t>Although the paper repeatedly emphasizes auditability and determinism, reproducibility details remain insufficient for full replication.</t>
        </is>
      </c>
    </row>
    <row r="42" ht="42" customHeight="1">
      <c r="A42" s="120" t="inlineStr">
        <is>
          <t>Weaknesses</t>
        </is>
      </c>
      <c r="B42" s="124" t="n">
        <v>23</v>
      </c>
      <c r="C42" s="124" t="n">
        <v>88</v>
      </c>
      <c r="D42" s="85" t="inlineStr">
        <is>
          <t>Critical missing details include:</t>
        </is>
      </c>
    </row>
    <row r="43" ht="42" customHeight="1">
      <c r="A43" s="120" t="inlineStr">
        <is>
          <t>Weaknesses</t>
        </is>
      </c>
      <c r="B43" s="124" t="n">
        <v>24</v>
      </c>
      <c r="C43" s="124" t="n">
        <v>90</v>
      </c>
      <c r="D43" s="85" t="inlineStr">
        <is>
          <t>Exact hyperparameters for HGT:</t>
        </is>
      </c>
    </row>
    <row r="44" ht="42" customHeight="1">
      <c r="A44" s="120" t="inlineStr">
        <is>
          <t>Weaknesses</t>
        </is>
      </c>
      <c r="B44" s="124" t="n">
        <v>25</v>
      </c>
      <c r="C44" s="124" t="n">
        <v>91</v>
      </c>
      <c r="D44" s="85" t="inlineStr">
        <is>
          <t>hidden dimensions,</t>
        </is>
      </c>
    </row>
    <row r="45" ht="42" customHeight="1">
      <c r="A45" s="120" t="inlineStr">
        <is>
          <t>Weaknesses</t>
        </is>
      </c>
      <c r="B45" s="124" t="n">
        <v>26</v>
      </c>
      <c r="C45" s="124" t="n">
        <v>92</v>
      </c>
      <c r="D45" s="85" t="inlineStr">
        <is>
          <t>attention heads,</t>
        </is>
      </c>
    </row>
    <row r="46" ht="42" customHeight="1">
      <c r="A46" s="120" t="inlineStr">
        <is>
          <t>Weaknesses</t>
        </is>
      </c>
      <c r="B46" s="124" t="n">
        <v>27</v>
      </c>
      <c r="C46" s="124" t="n">
        <v>93</v>
      </c>
      <c r="D46" s="85" t="inlineStr">
        <is>
          <t>dropout,</t>
        </is>
      </c>
    </row>
    <row r="47" ht="42" customHeight="1">
      <c r="A47" s="120" t="inlineStr">
        <is>
          <t>Weaknesses</t>
        </is>
      </c>
      <c r="B47" s="124" t="n">
        <v>28</v>
      </c>
      <c r="C47" s="124" t="n">
        <v>94</v>
      </c>
      <c r="D47" s="85" t="inlineStr">
        <is>
          <t>learning rates,</t>
        </is>
      </c>
    </row>
    <row r="48" ht="42" customHeight="1">
      <c r="A48" s="120" t="inlineStr">
        <is>
          <t>Weaknesses</t>
        </is>
      </c>
      <c r="B48" s="124" t="n">
        <v>29</v>
      </c>
      <c r="C48" s="124" t="n">
        <v>95</v>
      </c>
      <c r="D48" s="85" t="inlineStr">
        <is>
          <t>batch size,</t>
        </is>
      </c>
    </row>
    <row r="49" ht="42" customHeight="1">
      <c r="A49" s="120" t="inlineStr">
        <is>
          <t>Weaknesses</t>
        </is>
      </c>
      <c r="B49" s="124" t="n">
        <v>30</v>
      </c>
      <c r="C49" s="124" t="n">
        <v>96</v>
      </c>
      <c r="D49" s="85" t="inlineStr">
        <is>
          <t>epochs,</t>
        </is>
      </c>
    </row>
    <row r="50" ht="42" customHeight="1">
      <c r="A50" s="120" t="inlineStr">
        <is>
          <t>Weaknesses</t>
        </is>
      </c>
      <c r="B50" s="124" t="n">
        <v>31</v>
      </c>
      <c r="C50" s="124" t="n">
        <v>97</v>
      </c>
      <c r="D50" s="85" t="inlineStr">
        <is>
          <t>scheduler settings,</t>
        </is>
      </c>
    </row>
    <row r="51" ht="42" customHeight="1">
      <c r="A51" s="120" t="inlineStr">
        <is>
          <t>Weaknesses</t>
        </is>
      </c>
      <c r="B51" s="124" t="n">
        <v>32</v>
      </c>
      <c r="C51" s="124" t="n">
        <v>98</v>
      </c>
      <c r="D51" s="85" t="inlineStr">
        <is>
          <t>patience values,</t>
        </is>
      </c>
    </row>
    <row r="52" ht="42" customHeight="1">
      <c r="A52" s="120" t="inlineStr">
        <is>
          <t>Weaknesses</t>
        </is>
      </c>
      <c r="B52" s="124" t="n">
        <v>33</v>
      </c>
      <c r="C52" s="124" t="n">
        <v>99</v>
      </c>
      <c r="D52" s="85" t="inlineStr">
        <is>
          <t>optimizer parameters.</t>
        </is>
      </c>
    </row>
    <row r="53" ht="42" customHeight="1">
      <c r="A53" s="120" t="inlineStr">
        <is>
          <t>Weaknesses</t>
        </is>
      </c>
      <c r="B53" s="124" t="n">
        <v>34</v>
      </c>
      <c r="C53" s="124" t="n">
        <v>100</v>
      </c>
      <c r="D53" s="85" t="inlineStr">
        <is>
          <t>Graph statistics are absent:</t>
        </is>
      </c>
    </row>
    <row r="54" ht="42" customHeight="1">
      <c r="A54" s="120" t="inlineStr">
        <is>
          <t>Weaknesses</t>
        </is>
      </c>
      <c r="B54" s="124" t="n">
        <v>35</v>
      </c>
      <c r="C54" s="124" t="n">
        <v>101</v>
      </c>
      <c r="D54" s="85" t="inlineStr">
        <is>
          <t>total nodes,</t>
        </is>
      </c>
    </row>
    <row r="55" ht="42" customHeight="1">
      <c r="A55" s="120" t="inlineStr">
        <is>
          <t>Weaknesses</t>
        </is>
      </c>
      <c r="B55" s="124" t="n">
        <v>36</v>
      </c>
      <c r="C55" s="124" t="n">
        <v>102</v>
      </c>
      <c r="D55" s="85" t="inlineStr">
        <is>
          <t>total edges,</t>
        </is>
      </c>
    </row>
    <row r="56" ht="42" customHeight="1">
      <c r="A56" s="120" t="inlineStr">
        <is>
          <t>Weaknesses</t>
        </is>
      </c>
      <c r="B56" s="124" t="n">
        <v>37</v>
      </c>
      <c r="C56" s="124" t="n">
        <v>103</v>
      </c>
      <c r="D56" s="85" t="inlineStr">
        <is>
          <t>average graph size,</t>
        </is>
      </c>
    </row>
    <row r="57" ht="42" customHeight="1">
      <c r="A57" s="120" t="inlineStr">
        <is>
          <t>Weaknesses</t>
        </is>
      </c>
      <c r="B57" s="124" t="n">
        <v>38</v>
      </c>
      <c r="C57" s="124" t="n">
        <v>104</v>
      </c>
      <c r="D57" s="85" t="inlineStr">
        <is>
          <t>edge-type distributions,</t>
        </is>
      </c>
    </row>
    <row r="58" ht="42" customHeight="1">
      <c r="A58" s="120" t="inlineStr">
        <is>
          <t>Weaknesses</t>
        </is>
      </c>
      <c r="B58" s="124" t="n">
        <v>39</v>
      </c>
      <c r="C58" s="124" t="n">
        <v>105</v>
      </c>
      <c r="D58" s="85" t="inlineStr">
        <is>
          <t>entity frequencies.</t>
        </is>
      </c>
    </row>
    <row r="59" ht="42" customHeight="1">
      <c r="A59" s="120" t="inlineStr">
        <is>
          <t>Weaknesses</t>
        </is>
      </c>
      <c r="B59" s="124" t="n">
        <v>40</v>
      </c>
      <c r="C59" s="124" t="n">
        <v>106</v>
      </c>
      <c r="D59" s="85" t="inlineStr">
        <is>
          <t>NER preprocessing details are unclear:</t>
        </is>
      </c>
    </row>
    <row r="60" ht="42" customHeight="1">
      <c r="A60" s="120" t="inlineStr">
        <is>
          <t>Weaknesses</t>
        </is>
      </c>
      <c r="B60" s="124" t="n">
        <v>41</v>
      </c>
      <c r="C60" s="124" t="n">
        <v>107</v>
      </c>
      <c r="D60" s="85" t="inlineStr">
        <is>
          <t>Which OpenNyAI model version was used?</t>
        </is>
      </c>
    </row>
    <row r="61" ht="42" customHeight="1">
      <c r="A61" s="120" t="inlineStr">
        <is>
          <t>Weaknesses</t>
        </is>
      </c>
      <c r="B61" s="124" t="n">
        <v>42</v>
      </c>
      <c r="C61" s="124" t="n">
        <v>108</v>
      </c>
      <c r="D61" s="85" t="inlineStr">
        <is>
          <t>Was any fine-tuning performed?</t>
        </is>
      </c>
    </row>
    <row r="62" ht="42" customHeight="1">
      <c r="A62" s="120" t="inlineStr">
        <is>
          <t>Weaknesses</t>
        </is>
      </c>
      <c r="B62" s="124" t="n">
        <v>43</v>
      </c>
      <c r="C62" s="124" t="n">
        <v>109</v>
      </c>
      <c r="D62" s="85" t="inlineStr">
        <is>
          <t>How were noisy OCR artifacts handled?</t>
        </is>
      </c>
    </row>
    <row r="63" ht="42" customHeight="1">
      <c r="A63" s="120" t="inlineStr">
        <is>
          <t>Weaknesses</t>
        </is>
      </c>
      <c r="B63" s="124" t="n">
        <v>44</v>
      </c>
      <c r="C63" s="124" t="n">
        <v>110</v>
      </c>
      <c r="D63" s="85" t="inlineStr">
        <is>
          <t>How were multilingual segments processed?</t>
        </is>
      </c>
    </row>
    <row r="64" ht="42" customHeight="1">
      <c r="A64" s="120" t="inlineStr">
        <is>
          <t>Weaknesses</t>
        </is>
      </c>
      <c r="B64" s="124" t="n">
        <v>45</v>
      </c>
      <c r="C64" s="124" t="n">
        <v>111</v>
      </c>
      <c r="D64" s="85" t="inlineStr">
        <is>
          <t>What normalization heuristics were applied?</t>
        </is>
      </c>
    </row>
    <row r="65" ht="42" customHeight="1">
      <c r="A65" s="120" t="inlineStr">
        <is>
          <t>Weaknesses</t>
        </is>
      </c>
      <c r="B65" s="124" t="n">
        <v>46</v>
      </c>
      <c r="C65" s="124" t="n">
        <v>112</v>
      </c>
      <c r="D65" s="85" t="inlineStr">
        <is>
          <t>How were entity collisions/resolution handled?</t>
        </is>
      </c>
    </row>
    <row r="66" ht="42" customHeight="1">
      <c r="A66" s="120" t="inlineStr">
        <is>
          <t>Weaknesses</t>
        </is>
      </c>
      <c r="B66" s="124" t="n">
        <v>47</v>
      </c>
      <c r="C66" s="124" t="n">
        <v>113</v>
      </c>
      <c r="D66" s="85" t="inlineStr">
        <is>
          <t>Label generation methodology is insufficiently specified:</t>
        </is>
      </c>
    </row>
    <row r="67" ht="42" customHeight="1">
      <c r="A67" s="120" t="inlineStr">
        <is>
          <t>Weaknesses</t>
        </is>
      </c>
      <c r="B67" s="124" t="n">
        <v>48</v>
      </c>
      <c r="C67" s="124" t="n">
        <v>114</v>
      </c>
      <c r="D67" s="85" t="inlineStr">
        <is>
          <t>Exact prompting template missing.</t>
        </is>
      </c>
    </row>
    <row r="68" ht="42" customHeight="1">
      <c r="A68" s="120" t="inlineStr">
        <is>
          <t>Weaknesses</t>
        </is>
      </c>
      <c r="B68" s="124" t="n">
        <v>49</v>
      </c>
      <c r="C68" s="124" t="n">
        <v>115</v>
      </c>
      <c r="D68" s="85" t="inlineStr">
        <is>
          <t>Which LLM generated labels?</t>
        </is>
      </c>
    </row>
    <row r="69" ht="42" customHeight="1">
      <c r="A69" s="120" t="inlineStr">
        <is>
          <t>Weaknesses</t>
        </is>
      </c>
      <c r="B69" s="124" t="n">
        <v>50</v>
      </c>
      <c r="C69" s="124" t="n">
        <v>116</v>
      </c>
      <c r="D69" s="85" t="inlineStr">
        <is>
          <t>Temperature/settings not described.</t>
        </is>
      </c>
    </row>
    <row r="70" ht="42" customHeight="1">
      <c r="A70" s="120" t="inlineStr">
        <is>
          <t>Weaknesses</t>
        </is>
      </c>
      <c r="B70" s="124" t="n">
        <v>51</v>
      </c>
      <c r="C70" s="124" t="n">
        <v>117</v>
      </c>
      <c r="D70" s="85" t="inlineStr">
        <is>
          <t>No annotation quality analysis.</t>
        </is>
      </c>
    </row>
    <row r="71" ht="42" customHeight="1">
      <c r="A71" s="120" t="inlineStr">
        <is>
          <t>Weaknesses</t>
        </is>
      </c>
      <c r="B71" s="124" t="n">
        <v>52</v>
      </c>
      <c r="C71" s="124" t="n">
        <v>118</v>
      </c>
      <c r="D71" s="85" t="inlineStr">
        <is>
          <t>No human validation subset.</t>
        </is>
      </c>
    </row>
    <row r="72" ht="42" customHeight="1">
      <c r="A72" s="120" t="inlineStr">
        <is>
          <t>Weaknesses</t>
        </is>
      </c>
      <c r="B72" s="124" t="n">
        <v>53</v>
      </c>
      <c r="C72" s="124" t="n">
        <v>119</v>
      </c>
      <c r="D72" s="85" t="inlineStr">
        <is>
          <t>No inter-annotator agreement.</t>
        </is>
      </c>
    </row>
    <row r="73" ht="42" customHeight="1">
      <c r="A73" s="120" t="inlineStr">
        <is>
          <t>Weaknesses</t>
        </is>
      </c>
      <c r="B73" s="124" t="n">
        <v>54</v>
      </c>
      <c r="C73" s="124" t="n">
        <v>120</v>
      </c>
      <c r="D73" s="85" t="inlineStr">
        <is>
          <t>No noise estimation.</t>
        </is>
      </c>
    </row>
    <row r="74" ht="42" customHeight="1">
      <c r="A74" s="120" t="inlineStr">
        <is>
          <t>Weaknesses</t>
        </is>
      </c>
      <c r="B74" s="124" t="n">
        <v>55</v>
      </c>
      <c r="C74" s="124" t="n">
        <v>122</v>
      </c>
      <c r="D74" s="85" t="inlineStr">
        <is>
          <t>Given that labels are generated using LLM prompting, this is a major concern because label quality directly determines downstream validity.</t>
        </is>
      </c>
    </row>
    <row r="75" ht="42" customHeight="1">
      <c r="A75" s="120" t="inlineStr">
        <is>
          <t>Weaknesses</t>
        </is>
      </c>
      <c r="B75" s="124" t="n">
        <v>56</v>
      </c>
      <c r="C75" s="124" t="n">
        <v>124</v>
      </c>
      <c r="D75" s="85" t="inlineStr">
        <is>
          <t>3. State-of-the-art comparisons are insufficient</t>
        </is>
      </c>
    </row>
    <row r="76" ht="42" customHeight="1">
      <c r="A76" s="120" t="inlineStr">
        <is>
          <t>Weaknesses</t>
        </is>
      </c>
      <c r="B76" s="124" t="n">
        <v>57</v>
      </c>
      <c r="C76" s="124" t="n">
        <v>126</v>
      </c>
      <c r="D76" s="85" t="inlineStr">
        <is>
          <t>The paper mainly compares against InLegalLlama. This is not enough.</t>
        </is>
      </c>
    </row>
    <row r="77" ht="42" customHeight="1">
      <c r="A77" s="120" t="inlineStr">
        <is>
          <t>Weaknesses</t>
        </is>
      </c>
      <c r="B77" s="124" t="n">
        <v>58</v>
      </c>
      <c r="C77" s="124" t="n">
        <v>128</v>
      </c>
      <c r="D77" s="85" t="inlineStr">
        <is>
          <t>The paper should compare against:</t>
        </is>
      </c>
    </row>
    <row r="78" ht="42" customHeight="1">
      <c r="A78" s="120" t="inlineStr">
        <is>
          <t>Weaknesses</t>
        </is>
      </c>
      <c r="B78" s="124" t="n">
        <v>59</v>
      </c>
      <c r="C78" s="124" t="n">
        <v>130</v>
      </c>
      <c r="D78" s="85" t="inlineStr">
        <is>
          <t>transformer baselines,</t>
        </is>
      </c>
    </row>
    <row r="79" ht="42" customHeight="1">
      <c r="A79" s="120" t="inlineStr">
        <is>
          <t>Weaknesses</t>
        </is>
      </c>
      <c r="B79" s="124" t="n">
        <v>60</v>
      </c>
      <c r="C79" s="124" t="n">
        <v>131</v>
      </c>
      <c r="D79" s="85" t="inlineStr">
        <is>
          <t>hierarchical encoders,</t>
        </is>
      </c>
    </row>
    <row r="80" ht="42" customHeight="1">
      <c r="A80" s="120" t="inlineStr">
        <is>
          <t>Weaknesses</t>
        </is>
      </c>
      <c r="B80" s="124" t="n">
        <v>61</v>
      </c>
      <c r="C80" s="124" t="n">
        <v>132</v>
      </c>
      <c r="D80" s="85" t="inlineStr">
        <is>
          <t>retrieval-based legal models,</t>
        </is>
      </c>
    </row>
    <row r="81" ht="42" customHeight="1">
      <c r="A81" s="120" t="inlineStr">
        <is>
          <t>Weaknesses</t>
        </is>
      </c>
      <c r="B81" s="124" t="n">
        <v>62</v>
      </c>
      <c r="C81" s="124" t="n">
        <v>133</v>
      </c>
      <c r="D81" s="85" t="inlineStr">
        <is>
          <t>graph baselines,</t>
        </is>
      </c>
    </row>
    <row r="82" ht="42" customHeight="1">
      <c r="A82" s="120" t="inlineStr">
        <is>
          <t>Weaknesses</t>
        </is>
      </c>
      <c r="B82" s="124" t="n">
        <v>63</v>
      </c>
      <c r="C82" s="124" t="n">
        <v>134</v>
      </c>
      <c r="D82" s="85" t="inlineStr">
        <is>
          <t>hybrid GNN+Transformer architectures,</t>
        </is>
      </c>
    </row>
    <row r="83" ht="42" customHeight="1">
      <c r="A83" s="120" t="inlineStr">
        <is>
          <t>Weaknesses</t>
        </is>
      </c>
      <c r="B83" s="124" t="n">
        <v>64</v>
      </c>
      <c r="C83" s="124" t="n">
        <v>135</v>
      </c>
      <c r="D83" s="85" t="inlineStr">
        <is>
          <t>explainable legal reasoning systems.</t>
        </is>
      </c>
    </row>
    <row r="84" ht="42" customHeight="1">
      <c r="A84" s="120" t="inlineStr">
        <is>
          <t>Weaknesses</t>
        </is>
      </c>
      <c r="B84" s="124" t="n">
        <v>65</v>
      </c>
      <c r="C84" s="124" t="n">
        <v>137</v>
      </c>
      <c r="D84" s="85" t="inlineStr">
        <is>
          <t>Missing comparisons significantly weaken empirical claims.</t>
        </is>
      </c>
    </row>
    <row r="85" ht="42" customHeight="1">
      <c r="A85" s="120" t="inlineStr">
        <is>
          <t>Weaknesses</t>
        </is>
      </c>
      <c r="B85" s="124" t="n">
        <v>66</v>
      </c>
      <c r="C85" s="124" t="n">
        <v>139</v>
      </c>
      <c r="D85" s="85" t="inlineStr">
        <is>
          <t>In particular, comparisons are missing against:</t>
        </is>
      </c>
    </row>
    <row r="86" ht="42" customHeight="1">
      <c r="A86" s="120" t="inlineStr">
        <is>
          <t>Weaknesses</t>
        </is>
      </c>
      <c r="B86" s="124" t="n">
        <v>67</v>
      </c>
      <c r="C86" s="124" t="n">
        <v>141</v>
      </c>
      <c r="D86" s="85" t="inlineStr">
        <is>
          <t>ILDC baselines,</t>
        </is>
      </c>
    </row>
    <row r="87" ht="42" customHeight="1">
      <c r="A87" s="120" t="inlineStr">
        <is>
          <t>Weaknesses</t>
        </is>
      </c>
      <c r="B87" s="124" t="n">
        <v>68</v>
      </c>
      <c r="C87" s="124" t="n">
        <v>142</v>
      </c>
      <c r="D87" s="85" t="inlineStr">
        <is>
          <t>PredEx,</t>
        </is>
      </c>
    </row>
    <row r="88" ht="42" customHeight="1">
      <c r="A88" s="120" t="inlineStr">
        <is>
          <t>Weaknesses</t>
        </is>
      </c>
      <c r="B88" s="124" t="n">
        <v>69</v>
      </c>
      <c r="C88" s="124" t="n">
        <v>143</v>
      </c>
      <c r="D88" s="85" t="inlineStr">
        <is>
          <t>graph legal prediction architectures,</t>
        </is>
      </c>
    </row>
    <row r="89" ht="42" customHeight="1">
      <c r="A89" s="120" t="inlineStr">
        <is>
          <t>Weaknesses</t>
        </is>
      </c>
      <c r="B89" s="124" t="n">
        <v>70</v>
      </c>
      <c r="C89" s="124" t="n">
        <v>144</v>
      </c>
      <c r="D89" s="85" t="inlineStr">
        <is>
          <t>legal reasoning systems with chain-of-thought or verification,</t>
        </is>
      </c>
    </row>
    <row r="90" ht="42" customHeight="1">
      <c r="A90" s="120" t="inlineStr">
        <is>
          <t>Weaknesses</t>
        </is>
      </c>
      <c r="B90" s="124" t="n">
        <v>71</v>
      </c>
      <c r="C90" s="124" t="n">
        <v>145</v>
      </c>
      <c r="D90" s="85" t="inlineStr">
        <is>
          <t>recent legal explanation models.</t>
        </is>
      </c>
    </row>
    <row r="91" ht="42" customHeight="1">
      <c r="A91" s="120" t="inlineStr">
        <is>
          <t>Weaknesses</t>
        </is>
      </c>
      <c r="B91" s="124" t="n">
        <v>72</v>
      </c>
      <c r="C91" s="124" t="n">
        <v>147</v>
      </c>
      <c r="D91" s="85" t="inlineStr">
        <is>
          <t>Additionally:</t>
        </is>
      </c>
    </row>
    <row r="92" ht="42" customHeight="1">
      <c r="A92" s="120" t="inlineStr">
        <is>
          <t>Weaknesses</t>
        </is>
      </c>
      <c r="B92" s="124" t="n">
        <v>73</v>
      </c>
      <c r="C92" s="124" t="n">
        <v>149</v>
      </c>
      <c r="D92" s="85" t="inlineStr">
        <is>
          <t>No statistical significance testing is reported.</t>
        </is>
      </c>
    </row>
    <row r="93" ht="42" customHeight="1">
      <c r="A93" s="120" t="inlineStr">
        <is>
          <t>Weaknesses</t>
        </is>
      </c>
      <c r="B93" s="124" t="n">
        <v>74</v>
      </c>
      <c r="C93" s="124" t="n">
        <v>150</v>
      </c>
      <c r="D93" s="85" t="inlineStr">
        <is>
          <t>No variance/std over folds.</t>
        </is>
      </c>
    </row>
    <row r="94" ht="42" customHeight="1">
      <c r="A94" s="120" t="inlineStr">
        <is>
          <t>Weaknesses</t>
        </is>
      </c>
      <c r="B94" s="124" t="n">
        <v>75</v>
      </c>
      <c r="C94" s="124" t="n">
        <v>151</v>
      </c>
      <c r="D94" s="85" t="inlineStr">
        <is>
          <t>Macro-F1 is reported inconsistently.</t>
        </is>
      </c>
    </row>
    <row r="95" ht="42" customHeight="1">
      <c r="A95" s="120" t="inlineStr">
        <is>
          <t>Weaknesses</t>
        </is>
      </c>
      <c r="B95" s="124" t="n">
        <v>76</v>
      </c>
      <c r="C95" s="124" t="n">
        <v>152</v>
      </c>
      <c r="D95" s="85" t="inlineStr">
        <is>
          <t>No calibration metrics.</t>
        </is>
      </c>
    </row>
    <row r="96" ht="42" customHeight="1">
      <c r="A96" s="120" t="inlineStr">
        <is>
          <t>Weaknesses</t>
        </is>
      </c>
      <c r="B96" s="124" t="n">
        <v>77</v>
      </c>
      <c r="C96" s="124" t="n">
        <v>153</v>
      </c>
      <c r="D96" s="85" t="inlineStr">
        <is>
          <t>No fairness metrics.</t>
        </is>
      </c>
    </row>
    <row r="97" ht="42" customHeight="1">
      <c r="A97" s="120" t="inlineStr">
        <is>
          <t>Weaknesses</t>
        </is>
      </c>
      <c r="B97" s="124" t="n">
        <v>78</v>
      </c>
      <c r="C97" s="124" t="n">
        <v>155</v>
      </c>
      <c r="D97" s="85" t="inlineStr">
        <is>
          <t>. Ethical analysis remains superficial</t>
        </is>
      </c>
    </row>
    <row r="98" ht="42" customHeight="1">
      <c r="A98" s="120" t="inlineStr">
        <is>
          <t>Weaknesses</t>
        </is>
      </c>
      <c r="B98" s="124" t="n">
        <v>79</v>
      </c>
      <c r="C98" s="124" t="n">
        <v>157</v>
      </c>
      <c r="D98" s="85" t="inlineStr">
        <is>
          <t>The paper acknowledges bias concerns but does not analyze them rigorously.</t>
        </is>
      </c>
    </row>
    <row r="99" ht="42" customHeight="1">
      <c r="A99" s="120" t="inlineStr">
        <is>
          <t>Weaknesses</t>
        </is>
      </c>
      <c r="B99" s="124" t="n">
        <v>80</v>
      </c>
      <c r="C99" s="124" t="n">
        <v>159</v>
      </c>
      <c r="D99" s="85" t="inlineStr">
        <is>
          <t>Particularly concerning issues:</t>
        </is>
      </c>
    </row>
    <row r="100" ht="42" customHeight="1">
      <c r="A100" s="120" t="inlineStr">
        <is>
          <t>Weaknesses</t>
        </is>
      </c>
      <c r="B100" s="124" t="n">
        <v>81</v>
      </c>
      <c r="C100" s="124" t="n">
        <v>161</v>
      </c>
      <c r="D100" s="85" t="inlineStr">
        <is>
          <t>The model still relies partially on judge/court identity signals.</t>
        </is>
      </c>
    </row>
    <row r="101" ht="42" customHeight="1">
      <c r="A101" s="120" t="inlineStr">
        <is>
          <t>Weaknesses</t>
        </is>
      </c>
      <c r="B101" s="124" t="n">
        <v>82</v>
      </c>
      <c r="C101" s="124" t="n">
        <v>162</v>
      </c>
      <c r="D101" s="85" t="inlineStr">
        <is>
          <t>Historical judicial bias may be encoded into learned representations.</t>
        </is>
      </c>
    </row>
    <row r="102" ht="42" customHeight="1">
      <c r="A102" s="120" t="inlineStr">
        <is>
          <t>Weaknesses</t>
        </is>
      </c>
      <c r="B102" s="124" t="n">
        <v>83</v>
      </c>
      <c r="C102" s="124" t="n">
        <v>163</v>
      </c>
      <c r="D102" s="85" t="inlineStr">
        <is>
          <t>Procedural inequities may propagate into predictions.</t>
        </is>
      </c>
    </row>
    <row r="103" ht="42" customHeight="1">
      <c r="A103" s="120" t="inlineStr">
        <is>
          <t>Weaknesses</t>
        </is>
      </c>
      <c r="B103" s="124" t="n">
        <v>84</v>
      </c>
      <c r="C103" s="124" t="n">
        <v>164</v>
      </c>
      <c r="D103" s="85" t="inlineStr">
        <is>
          <t>Certain legal domains may disproportionately affect marginalized groups.</t>
        </is>
      </c>
    </row>
    <row r="104" ht="42" customHeight="1">
      <c r="A104" s="120" t="inlineStr">
        <is>
          <t>Weaknesses</t>
        </is>
      </c>
      <c r="B104" s="124" t="n">
        <v>85</v>
      </c>
      <c r="C104" s="124" t="n">
        <v>166</v>
      </c>
      <c r="D104" s="85" t="inlineStr">
        <is>
          <t>The paper should include:</t>
        </is>
      </c>
    </row>
    <row r="105" ht="42" customHeight="1">
      <c r="A105" s="120" t="inlineStr">
        <is>
          <t>Weaknesses</t>
        </is>
      </c>
      <c r="B105" s="124" t="n">
        <v>86</v>
      </c>
      <c r="C105" s="124" t="n">
        <v>168</v>
      </c>
      <c r="D105" s="85" t="inlineStr">
        <is>
          <t>fairness analysis across domains,</t>
        </is>
      </c>
    </row>
    <row r="106" ht="42" customHeight="1">
      <c r="A106" s="120" t="inlineStr">
        <is>
          <t>Weaknesses</t>
        </is>
      </c>
      <c r="B106" s="124" t="n">
        <v>87</v>
      </c>
      <c r="C106" s="124" t="n">
        <v>169</v>
      </c>
      <c r="D106" s="85" t="inlineStr">
        <is>
          <t>judge-level bias audits,</t>
        </is>
      </c>
    </row>
    <row r="107" ht="42" customHeight="1">
      <c r="A107" s="120" t="inlineStr">
        <is>
          <t>Weaknesses</t>
        </is>
      </c>
      <c r="B107" s="124" t="n">
        <v>88</v>
      </c>
      <c r="C107" s="124" t="n">
        <v>170</v>
      </c>
      <c r="D107" s="85" t="inlineStr">
        <is>
          <t>demographic or regional bias discussion (where legally permissible),</t>
        </is>
      </c>
    </row>
    <row r="108" ht="42" customHeight="1">
      <c r="A108" s="120" t="inlineStr">
        <is>
          <t>Weaknesses</t>
        </is>
      </c>
      <c r="B108" s="124" t="n">
        <v>89</v>
      </c>
      <c r="C108" s="124" t="n">
        <v>171</v>
      </c>
      <c r="D108" s="85" t="inlineStr">
        <is>
          <t>sensitivity analyses,</t>
        </is>
      </c>
    </row>
    <row r="109" ht="42" customHeight="1">
      <c r="A109" s="120" t="inlineStr">
        <is>
          <t>Weaknesses</t>
        </is>
      </c>
      <c r="B109" s="124" t="n">
        <v>90</v>
      </c>
      <c r="C109" s="124" t="n">
        <v>172</v>
      </c>
      <c r="D109" s="85" t="inlineStr">
        <is>
          <t>ethical deployment constraints.</t>
        </is>
      </c>
    </row>
    <row r="110" ht="42" customHeight="1">
      <c r="A110" s="120" t="inlineStr">
        <is>
          <t>Weaknesses</t>
        </is>
      </c>
      <c r="B110" s="124" t="n">
        <v>91</v>
      </c>
      <c r="C110" s="124" t="n">
        <v>174</v>
      </c>
      <c r="D110" s="85" t="inlineStr">
        <is>
          <t>The fairness discussion is currently too short for a high-impact legal AI paper.</t>
        </is>
      </c>
    </row>
    <row r="111" ht="42" customHeight="1">
      <c r="A111" s="120" t="inlineStr">
        <is>
          <t>Weaknesses</t>
        </is>
      </c>
      <c r="B111" s="124" t="n">
        <v>92</v>
      </c>
      <c r="C111" s="124" t="n">
        <v>176</v>
      </c>
      <c r="D111" s="85" t="inlineStr">
        <is>
          <t>5. Explainability claims are overstated</t>
        </is>
      </c>
    </row>
    <row r="112" ht="42" customHeight="1">
      <c r="A112" s="120" t="inlineStr">
        <is>
          <t>Weaknesses</t>
        </is>
      </c>
      <c r="B112" s="124" t="n">
        <v>93</v>
      </c>
      <c r="C112" s="124" t="n">
        <v>178</v>
      </c>
      <c r="D112" s="85" t="inlineStr">
        <is>
          <t>The paper frequently contrasts its system with LLMs and claims superior interpretability. However:</t>
        </is>
      </c>
    </row>
    <row r="113" ht="42" customHeight="1">
      <c r="A113" s="120" t="inlineStr">
        <is>
          <t>Weaknesses</t>
        </is>
      </c>
      <c r="B113" s="124" t="n">
        <v>94</v>
      </c>
      <c r="C113" s="124" t="n">
        <v>180</v>
      </c>
      <c r="D113" s="85" t="inlineStr">
        <is>
          <t>Counterfactual masking alone does not guarantee causal explanation.</t>
        </is>
      </c>
    </row>
    <row r="114" ht="42" customHeight="1">
      <c r="A114" s="120" t="inlineStr">
        <is>
          <t>Weaknesses</t>
        </is>
      </c>
      <c r="B114" s="124" t="n">
        <v>95</v>
      </c>
      <c r="C114" s="124" t="n">
        <v>181</v>
      </c>
      <c r="D114" s="85" t="inlineStr">
        <is>
          <t>Attention and graph attribution methods are still approximations.</t>
        </is>
      </c>
    </row>
    <row r="115" ht="42" customHeight="1">
      <c r="A115" s="120" t="inlineStr">
        <is>
          <t>Weaknesses</t>
        </is>
      </c>
      <c r="B115" s="124" t="n">
        <v>96</v>
      </c>
      <c r="C115" s="124" t="n">
        <v>182</v>
      </c>
      <c r="D115" s="85" t="inlineStr">
        <is>
          <t>Structural traceability is not equivalent to legal reasoning faithfulness.</t>
        </is>
      </c>
    </row>
    <row r="116" ht="42" customHeight="1">
      <c r="A116" s="120" t="inlineStr">
        <is>
          <t>Weaknesses</t>
        </is>
      </c>
      <c r="B116" s="124" t="n">
        <v>97</v>
      </c>
      <c r="C116" s="124" t="n">
        <v>183</v>
      </c>
      <c r="D116" s="85" t="inlineStr">
        <is>
          <t>No human legal expert evaluation of explanations is performed.</t>
        </is>
      </c>
    </row>
    <row r="117" ht="42" customHeight="1">
      <c r="A117" s="120" t="inlineStr">
        <is>
          <t>Weaknesses</t>
        </is>
      </c>
      <c r="B117" s="124" t="n">
        <v>98</v>
      </c>
      <c r="C117" s="124" t="n">
        <v>185</v>
      </c>
      <c r="D117" s="85" t="inlineStr">
        <is>
          <t>Claims such as “mathematically auditable” are somewhat overstated without external legal validation.</t>
        </is>
      </c>
    </row>
    <row r="118" ht="42" customHeight="1">
      <c r="A118" s="120" t="inlineStr">
        <is>
          <t>Weaknesses</t>
        </is>
      </c>
      <c r="B118" s="124" t="n">
        <v>99</v>
      </c>
      <c r="C118" s="124" t="n">
        <v>187</v>
      </c>
      <c r="D118" s="85" t="inlineStr">
        <is>
          <t>Minor Weaknesses</t>
        </is>
      </c>
    </row>
    <row r="119" ht="42" customHeight="1">
      <c r="A119" s="120" t="inlineStr">
        <is>
          <t>Weaknesses</t>
        </is>
      </c>
      <c r="B119" s="124" t="n">
        <v>100</v>
      </c>
      <c r="C119" s="124" t="n">
        <v>188</v>
      </c>
      <c r="D119" s="85" t="inlineStr">
        <is>
          <t>Some sections are overly promotional toward GNNs and overly dismissive toward LLMs.</t>
        </is>
      </c>
    </row>
    <row r="120" ht="42" customHeight="1">
      <c r="A120" s="120" t="inlineStr">
        <is>
          <t>Weaknesses</t>
        </is>
      </c>
      <c r="B120" s="124" t="n">
        <v>101</v>
      </c>
      <c r="C120" s="124" t="n">
        <v>189</v>
      </c>
      <c r="D120" s="85" t="inlineStr">
        <is>
          <t>The paper occasionally conflates correlation with legal reasoning.</t>
        </is>
      </c>
    </row>
    <row r="121" ht="42" customHeight="1">
      <c r="A121" s="120" t="inlineStr">
        <is>
          <t>Weaknesses</t>
        </is>
      </c>
      <c r="B121" s="124" t="n">
        <v>102</v>
      </c>
      <c r="C121" s="124" t="n">
        <v>190</v>
      </c>
      <c r="D121" s="85" t="inlineStr">
        <is>
          <t>The temporal analysis is interesting but evaluated only on 309 cases, which is relatively small.</t>
        </is>
      </c>
    </row>
    <row r="122" ht="42" customHeight="1">
      <c r="A122" s="120" t="inlineStr">
        <is>
          <t>Weaknesses</t>
        </is>
      </c>
      <c r="B122" s="124" t="n">
        <v>103</v>
      </c>
      <c r="C122" s="124" t="n">
        <v>191</v>
      </c>
      <c r="D122" s="85" t="inlineStr">
        <is>
          <t>No computational cost/runtime analysis.</t>
        </is>
      </c>
    </row>
    <row r="123" ht="42" customHeight="1">
      <c r="A123" s="120" t="inlineStr">
        <is>
          <t>Weaknesses</t>
        </is>
      </c>
      <c r="B123" s="124" t="n">
        <v>104</v>
      </c>
      <c r="C123" s="124" t="n">
        <v>192</v>
      </c>
      <c r="D123" s="85" t="inlineStr">
        <is>
          <t>No discussion of scalability for larger judicial corpora.</t>
        </is>
      </c>
    </row>
    <row r="124" ht="42" customHeight="1">
      <c r="A124" s="120" t="inlineStr">
        <is>
          <t>Weaknesses</t>
        </is>
      </c>
      <c r="B124" s="124" t="n">
        <v>105</v>
      </c>
      <c r="C124" s="124" t="n">
        <v>193</v>
      </c>
      <c r="D124" s="85" t="inlineStr">
        <is>
          <t>No ablation on rhetorical-role removal specifically.</t>
        </is>
      </c>
    </row>
    <row r="125" ht="42" customHeight="1">
      <c r="A125" s="120" t="inlineStr">
        <is>
          <t>Weaknesses</t>
        </is>
      </c>
      <c r="B125" s="124" t="n">
        <v>106</v>
      </c>
      <c r="C125" s="124" t="n">
        <v>194</v>
      </c>
      <c r="D125" s="85" t="inlineStr">
        <is>
          <t>No error analysis examples.</t>
        </is>
      </c>
    </row>
    <row r="126" ht="42" customHeight="1">
      <c r="A126" s="120" t="inlineStr">
        <is>
          <t>Weaknesses</t>
        </is>
      </c>
      <c r="B126" s="124" t="n">
        <v>107</v>
      </c>
      <c r="C126" s="124" t="n">
        <v>195</v>
      </c>
      <c r="D126" s="85" t="inlineStr">
        <is>
          <t>No qualitative case studies from actual predictions.</t>
        </is>
      </c>
    </row>
    <row r="127" ht="42" customHeight="1">
      <c r="A127" s="120" t="inlineStr">
        <is>
          <t>Overall evaluation</t>
        </is>
      </c>
      <c r="B127" s="124" t="n">
        <v>1</v>
      </c>
      <c r="C127" s="124" t="n">
        <v>197</v>
      </c>
      <c r="D127" s="85" t="inlineStr">
        <is>
          <t>Weak Reject</t>
        </is>
      </c>
    </row>
    <row r="128" ht="42" customHeight="1">
      <c r="A128" s="120" t="inlineStr">
        <is>
          <t>Detailed Comments</t>
        </is>
      </c>
      <c r="B128" s="124" t="n">
        <v>1</v>
      </c>
      <c r="C128" s="124" t="n">
        <v>199</v>
      </c>
      <c r="D128" s="85" t="inlineStr">
        <is>
          <t>The paper addresses an important problem, proposes an interesting heterogeneous graph framework, and demonstrates strong empirical performance on a large Indian legal dataset. The leakage-aware design and structural modeling are meaningful contributions.</t>
        </is>
      </c>
    </row>
    <row r="129" ht="42" customHeight="1">
      <c r="A129" s="120" t="inlineStr">
        <is>
          <t>Detailed Comments</t>
        </is>
      </c>
      <c r="B129" s="124" t="n">
        <v>2</v>
      </c>
      <c r="C129" s="124" t="n">
        <v>201</v>
      </c>
      <c r="D129" s="85" t="inlineStr">
        <is>
          <t>However, the paper still has substantial weaknesses regarding:</t>
        </is>
      </c>
    </row>
    <row r="130" ht="42" customHeight="1">
      <c r="A130" s="120" t="inlineStr">
        <is>
          <t>Detailed Comments</t>
        </is>
      </c>
      <c r="B130" s="124" t="n">
        <v>3</v>
      </c>
      <c r="C130" s="124" t="n">
        <v>203</v>
      </c>
      <c r="D130" s="85" t="inlineStr">
        <is>
          <t>reproducibility,</t>
        </is>
      </c>
    </row>
    <row r="131" ht="42" customHeight="1">
      <c r="A131" s="120" t="inlineStr">
        <is>
          <t>Detailed Comments</t>
        </is>
      </c>
      <c r="B131" s="124" t="n">
        <v>4</v>
      </c>
      <c r="C131" s="124" t="n">
        <v>204</v>
      </c>
      <c r="D131" s="85" t="inlineStr">
        <is>
          <t>completeness of literature review,</t>
        </is>
      </c>
    </row>
    <row r="132" ht="42" customHeight="1">
      <c r="A132" s="120" t="inlineStr">
        <is>
          <t>Detailed Comments</t>
        </is>
      </c>
      <c r="B132" s="124" t="n">
        <v>5</v>
      </c>
      <c r="C132" s="124" t="n">
        <v>205</v>
      </c>
      <c r="D132" s="85" t="inlineStr">
        <is>
          <t>rigor of comparisons,</t>
        </is>
      </c>
    </row>
    <row r="133" ht="42" customHeight="1">
      <c r="A133" s="120" t="inlineStr">
        <is>
          <t>Detailed Comments</t>
        </is>
      </c>
      <c r="B133" s="124" t="n">
        <v>6</v>
      </c>
      <c r="C133" s="124" t="n">
        <v>206</v>
      </c>
      <c r="D133" s="85" t="inlineStr">
        <is>
          <t>fairness analysis,</t>
        </is>
      </c>
    </row>
    <row r="134" ht="42" customHeight="1">
      <c r="A134" s="120" t="inlineStr">
        <is>
          <t>Detailed Comments</t>
        </is>
      </c>
      <c r="B134" s="124" t="n">
        <v>7</v>
      </c>
      <c r="C134" s="124" t="n">
        <v>207</v>
      </c>
      <c r="D134" s="85" t="inlineStr">
        <is>
          <t>label-quality validation,</t>
        </is>
      </c>
    </row>
    <row r="135" ht="42" customHeight="1">
      <c r="A135" s="120" t="inlineStr">
        <is>
          <t>Detailed Comments</t>
        </is>
      </c>
      <c r="B135" s="124" t="n">
        <v>8</v>
      </c>
      <c r="C135" s="124" t="n">
        <v>208</v>
      </c>
      <c r="D135" s="85" t="inlineStr">
        <is>
          <t>and overstatement of interpretability claims.</t>
        </is>
      </c>
    </row>
    <row r="136" ht="42" customHeight="1">
      <c r="A136" s="120" t="inlineStr">
        <is>
          <t>Detailed Comments</t>
        </is>
      </c>
      <c r="B136" s="124" t="n">
        <v>9</v>
      </c>
      <c r="C136" s="124" t="n">
        <v>210</v>
      </c>
      <c r="D136" s="85" t="inlineStr">
        <is>
          <t>The work is promising and likely valuable to the ASONAM community, but it would benefit from stronger empirical rigor and broader contextualization.</t>
        </is>
      </c>
    </row>
    <row r="137" ht="42" customHeight="1">
      <c r="A137" s="120" t="inlineStr">
        <is>
          <t>Detailed Comments</t>
        </is>
      </c>
      <c r="B137" s="124" t="n">
        <v>10</v>
      </c>
      <c r="C137" s="124" t="n">
        <v>212</v>
      </c>
      <c r="D137" s="85" t="inlineStr">
        <is>
          <t>The paper strongly emphasizes transparency and auditability, but reproducibility remains incomplete.</t>
        </is>
      </c>
    </row>
    <row r="138" ht="42" customHeight="1">
      <c r="A138" s="120" t="inlineStr">
        <is>
          <t>Detailed Comments</t>
        </is>
      </c>
      <c r="B138" s="124" t="n">
        <v>11</v>
      </c>
      <c r="C138" s="124" t="n">
        <v>214</v>
      </c>
      <c r="D138" s="85" t="inlineStr">
        <is>
          <t>Please provide:</t>
        </is>
      </c>
    </row>
    <row r="139" ht="42" customHeight="1">
      <c r="A139" s="120" t="inlineStr">
        <is>
          <t>Detailed Comments</t>
        </is>
      </c>
      <c r="B139" s="124" t="n">
        <v>12</v>
      </c>
      <c r="C139" s="124" t="n">
        <v>216</v>
      </c>
      <c r="D139" s="85" t="inlineStr">
        <is>
          <t>complete hyperparameter tables,</t>
        </is>
      </c>
    </row>
    <row r="140" ht="42" customHeight="1">
      <c r="A140" s="120" t="inlineStr">
        <is>
          <t>Detailed Comments</t>
        </is>
      </c>
      <c r="B140" s="124" t="n">
        <v>13</v>
      </c>
      <c r="C140" s="124" t="n">
        <v>217</v>
      </c>
      <c r="D140" s="85" t="inlineStr">
        <is>
          <t>graph construction statistics,</t>
        </is>
      </c>
    </row>
    <row r="141" ht="42" customHeight="1">
      <c r="A141" s="120" t="inlineStr">
        <is>
          <t>Detailed Comments</t>
        </is>
      </c>
      <c r="B141" s="124" t="n">
        <v>14</v>
      </c>
      <c r="C141" s="124" t="n">
        <v>218</v>
      </c>
      <c r="D141" s="85" t="inlineStr">
        <is>
          <t>exact preprocessing pipeline,</t>
        </is>
      </c>
    </row>
    <row r="142" ht="42" customHeight="1">
      <c r="A142" s="120" t="inlineStr">
        <is>
          <t>Detailed Comments</t>
        </is>
      </c>
      <c r="B142" s="124" t="n">
        <v>15</v>
      </c>
      <c r="C142" s="124" t="n">
        <v>219</v>
      </c>
      <c r="D142" s="85" t="inlineStr">
        <is>
          <t>NER model versions,</t>
        </is>
      </c>
    </row>
    <row r="143" ht="42" customHeight="1">
      <c r="A143" s="120" t="inlineStr">
        <is>
          <t>Detailed Comments</t>
        </is>
      </c>
      <c r="B143" s="124" t="n">
        <v>16</v>
      </c>
      <c r="C143" s="124" t="n">
        <v>220</v>
      </c>
      <c r="D143" s="85" t="inlineStr">
        <is>
          <t>OCR handling procedures,</t>
        </is>
      </c>
    </row>
    <row r="144" ht="42" customHeight="1">
      <c r="A144" s="120" t="inlineStr">
        <is>
          <t>Detailed Comments</t>
        </is>
      </c>
      <c r="B144" s="124" t="n">
        <v>17</v>
      </c>
      <c r="C144" s="124" t="n">
        <v>221</v>
      </c>
      <c r="D144" s="85" t="inlineStr">
        <is>
          <t>prompt templates,</t>
        </is>
      </c>
    </row>
    <row r="145" ht="42" customHeight="1">
      <c r="A145" s="120" t="inlineStr">
        <is>
          <t>Detailed Comments</t>
        </is>
      </c>
      <c r="B145" s="124" t="n">
        <v>18</v>
      </c>
      <c r="C145" s="124" t="n">
        <v>222</v>
      </c>
      <c r="D145" s="85" t="inlineStr">
        <is>
          <t>random seeds,</t>
        </is>
      </c>
    </row>
    <row r="146" ht="42" customHeight="1">
      <c r="A146" s="120" t="inlineStr">
        <is>
          <t>Detailed Comments</t>
        </is>
      </c>
      <c r="B146" s="124" t="n">
        <v>19</v>
      </c>
      <c r="C146" s="124" t="n">
        <v>223</v>
      </c>
      <c r="D146" s="85" t="inlineStr">
        <is>
          <t>hardware setup,</t>
        </is>
      </c>
    </row>
    <row r="147" ht="42" customHeight="1">
      <c r="A147" s="120" t="inlineStr">
        <is>
          <t>Detailed Comments</t>
        </is>
      </c>
      <c r="B147" s="124" t="n">
        <v>20</v>
      </c>
      <c r="C147" s="124" t="n">
        <v>224</v>
      </c>
      <c r="D147" s="85" t="inlineStr">
        <is>
          <t>training time.</t>
        </is>
      </c>
    </row>
    <row r="148" ht="42" customHeight="1">
      <c r="A148" s="120" t="inlineStr">
        <is>
          <t>Detailed Comments</t>
        </is>
      </c>
      <c r="B148" s="124" t="n">
        <v>21</v>
      </c>
      <c r="C148" s="124" t="n">
        <v>226</v>
      </c>
      <c r="D148" s="85" t="inlineStr">
        <is>
          <t>The repository is appreciated, but the paper itself should contain enough information for independent reproduction.</t>
        </is>
      </c>
    </row>
    <row r="149" ht="42" customHeight="1">
      <c r="A149" s="120" t="inlineStr">
        <is>
          <t>Detailed Comments</t>
        </is>
      </c>
      <c r="B149" s="124" t="n">
        <v>22</v>
      </c>
      <c r="C149" s="124" t="n">
        <v>228</v>
      </c>
      <c r="D149" s="85" t="inlineStr">
        <is>
          <t>The paper states that labels are generated via “consistency-checked LLM prompts”, but this process is under-described.</t>
        </is>
      </c>
    </row>
    <row r="150" ht="42" customHeight="1">
      <c r="A150" s="120" t="inlineStr">
        <is>
          <t>Detailed Comments</t>
        </is>
      </c>
      <c r="B150" s="124" t="n">
        <v>23</v>
      </c>
      <c r="C150" s="124" t="n">
        <v>230</v>
      </c>
      <c r="D150" s="85" t="inlineStr">
        <is>
          <t>Questions:</t>
        </is>
      </c>
    </row>
    <row r="151" ht="42" customHeight="1">
      <c r="A151" s="120" t="inlineStr">
        <is>
          <t>Detailed Comments</t>
        </is>
      </c>
      <c r="B151" s="124" t="n">
        <v>24</v>
      </c>
      <c r="C151" s="124" t="n">
        <v>232</v>
      </c>
      <c r="D151" s="85" t="inlineStr">
        <is>
          <t>Which LLM was used?</t>
        </is>
      </c>
    </row>
    <row r="152" ht="42" customHeight="1">
      <c r="A152" s="120" t="inlineStr">
        <is>
          <t>Detailed Comments</t>
        </is>
      </c>
      <c r="B152" s="124" t="n">
        <v>25</v>
      </c>
      <c r="C152" s="124" t="n">
        <v>233</v>
      </c>
      <c r="D152" s="85" t="inlineStr">
        <is>
          <t>How often did prompts disagree?</t>
        </is>
      </c>
    </row>
    <row r="153" ht="42" customHeight="1">
      <c r="A153" s="120" t="inlineStr">
        <is>
          <t>Detailed Comments</t>
        </is>
      </c>
      <c r="B153" s="124" t="n">
        <v>26</v>
      </c>
      <c r="C153" s="124" t="n">
        <v>234</v>
      </c>
      <c r="D153" s="85" t="inlineStr">
        <is>
          <t>How were conflicts resolved?</t>
        </is>
      </c>
    </row>
    <row r="154" ht="42" customHeight="1">
      <c r="A154" s="120" t="inlineStr">
        <is>
          <t>Detailed Comments</t>
        </is>
      </c>
      <c r="B154" s="124" t="n">
        <v>27</v>
      </c>
      <c r="C154" s="124" t="n">
        <v>235</v>
      </c>
      <c r="D154" s="85" t="inlineStr">
        <is>
          <t>Was any manual validation performed?</t>
        </is>
      </c>
    </row>
    <row r="155" ht="42" customHeight="1">
      <c r="A155" s="120" t="inlineStr">
        <is>
          <t>Detailed Comments</t>
        </is>
      </c>
      <c r="B155" s="124" t="n">
        <v>28</v>
      </c>
      <c r="C155" s="124" t="n">
        <v>236</v>
      </c>
      <c r="D155" s="85" t="inlineStr">
        <is>
          <t>What is the estimated label noise?</t>
        </is>
      </c>
    </row>
    <row r="156" ht="42" customHeight="1">
      <c r="A156" s="120" t="inlineStr">
        <is>
          <t>Detailed Comments</t>
        </is>
      </c>
      <c r="B156" s="124" t="n">
        <v>29</v>
      </c>
      <c r="C156" s="124" t="n">
        <v>238</v>
      </c>
      <c r="D156" s="85" t="inlineStr">
        <is>
          <t>This is extremely important because weak labels can introduce systematic bias.</t>
        </is>
      </c>
    </row>
    <row r="157" ht="42" customHeight="1">
      <c r="A157" s="120" t="inlineStr">
        <is>
          <t>Detailed Comments</t>
        </is>
      </c>
      <c r="B157" s="124" t="n">
        <v>30</v>
      </c>
      <c r="C157" s="124" t="n">
        <v>240</v>
      </c>
      <c r="D157" s="85" t="inlineStr">
        <is>
          <t>The NER pipeline requires substantially more detail.</t>
        </is>
      </c>
    </row>
    <row r="158" ht="42" customHeight="1">
      <c r="A158" s="120" t="inlineStr">
        <is>
          <t>Detailed Comments</t>
        </is>
      </c>
      <c r="B158" s="124" t="n">
        <v>31</v>
      </c>
      <c r="C158" s="124" t="n">
        <v>242</v>
      </c>
      <c r="D158" s="85" t="inlineStr">
        <is>
          <t>Please clarify:</t>
        </is>
      </c>
    </row>
    <row r="159" ht="42" customHeight="1">
      <c r="A159" s="120" t="inlineStr">
        <is>
          <t>Detailed Comments</t>
        </is>
      </c>
      <c r="B159" s="124" t="n">
        <v>32</v>
      </c>
      <c r="C159" s="124" t="n">
        <v>244</v>
      </c>
      <c r="D159" s="85" t="inlineStr">
        <is>
          <t>handling of multilingual legal text,</t>
        </is>
      </c>
    </row>
    <row r="160" ht="42" customHeight="1">
      <c r="A160" s="120" t="inlineStr">
        <is>
          <t>Detailed Comments</t>
        </is>
      </c>
      <c r="B160" s="124" t="n">
        <v>33</v>
      </c>
      <c r="C160" s="124" t="n">
        <v>245</v>
      </c>
      <c r="D160" s="85" t="inlineStr">
        <is>
          <t>OCR correction,</t>
        </is>
      </c>
    </row>
    <row r="161" ht="42" customHeight="1">
      <c r="A161" s="120" t="inlineStr">
        <is>
          <t>Detailed Comments</t>
        </is>
      </c>
      <c r="B161" s="124" t="n">
        <v>34</v>
      </c>
      <c r="C161" s="124" t="n">
        <v>246</v>
      </c>
      <c r="D161" s="85" t="inlineStr">
        <is>
          <t>entity normalization,</t>
        </is>
      </c>
    </row>
    <row r="162" ht="42" customHeight="1">
      <c r="A162" s="120" t="inlineStr">
        <is>
          <t>Detailed Comments</t>
        </is>
      </c>
      <c r="B162" s="124" t="n">
        <v>35</v>
      </c>
      <c r="C162" s="124" t="n">
        <v>247</v>
      </c>
      <c r="D162" s="85" t="inlineStr">
        <is>
          <t>provision parsing heuristics,</t>
        </is>
      </c>
    </row>
    <row r="163" ht="42" customHeight="1">
      <c r="A163" s="120" t="inlineStr">
        <is>
          <t>Detailed Comments</t>
        </is>
      </c>
      <c r="B163" s="124" t="n">
        <v>36</v>
      </c>
      <c r="C163" s="124" t="n">
        <v>248</v>
      </c>
      <c r="D163" s="85" t="inlineStr">
        <is>
          <t>canonicalization strategy,</t>
        </is>
      </c>
    </row>
    <row r="164" ht="42" customHeight="1">
      <c r="A164" s="120" t="inlineStr">
        <is>
          <t>Detailed Comments</t>
        </is>
      </c>
      <c r="B164" s="124" t="n">
        <v>37</v>
      </c>
      <c r="C164" s="124" t="n">
        <v>249</v>
      </c>
      <c r="D164" s="85" t="inlineStr">
        <is>
          <t>ambiguity resolution,</t>
        </is>
      </c>
    </row>
    <row r="165" ht="42" customHeight="1">
      <c r="A165" s="120" t="inlineStr">
        <is>
          <t>Detailed Comments</t>
        </is>
      </c>
      <c r="B165" s="124" t="n">
        <v>38</v>
      </c>
      <c r="C165" s="124" t="n">
        <v>250</v>
      </c>
      <c r="D165" s="85" t="inlineStr">
        <is>
          <t>missing entity cases.</t>
        </is>
      </c>
    </row>
    <row r="166" ht="42" customHeight="1">
      <c r="A166" s="120" t="inlineStr">
        <is>
          <t>Detailed Comments</t>
        </is>
      </c>
      <c r="B166" s="124" t="n">
        <v>39</v>
      </c>
      <c r="C166" s="124" t="n">
        <v>252</v>
      </c>
      <c r="D166" s="85" t="inlineStr">
        <is>
          <t>This is particularly important because graph quality directly depends on entity quality.</t>
        </is>
      </c>
    </row>
    <row r="167" ht="42" customHeight="1">
      <c r="A167" s="120" t="inlineStr">
        <is>
          <t>Detailed Comments</t>
        </is>
      </c>
      <c r="B167" s="124" t="n">
        <v>40</v>
      </c>
      <c r="C167" s="124" t="n">
        <v>254</v>
      </c>
      <c r="D167" s="85" t="inlineStr">
        <is>
          <t>he explainability section is one of the strongest parts of the paper, but stronger validation is needed.</t>
        </is>
      </c>
    </row>
    <row r="168" ht="42" customHeight="1">
      <c r="A168" s="120" t="inlineStr">
        <is>
          <t>Detailed Comments</t>
        </is>
      </c>
      <c r="B168" s="124" t="n">
        <v>41</v>
      </c>
      <c r="C168" s="124" t="n">
        <v>256</v>
      </c>
      <c r="D168" s="85" t="inlineStr">
        <is>
          <t>Suggestions:</t>
        </is>
      </c>
    </row>
    <row r="169" ht="42" customHeight="1">
      <c r="A169" s="120" t="inlineStr">
        <is>
          <t>Detailed Comments</t>
        </is>
      </c>
      <c r="B169" s="124" t="n">
        <v>42</v>
      </c>
      <c r="C169" s="124" t="n">
        <v>258</v>
      </c>
      <c r="D169" s="85" t="inlineStr">
        <is>
          <t>human legal expert evaluation,</t>
        </is>
      </c>
    </row>
    <row r="170" ht="42" customHeight="1">
      <c r="A170" s="120" t="inlineStr">
        <is>
          <t>Detailed Comments</t>
        </is>
      </c>
      <c r="B170" s="124" t="n">
        <v>43</v>
      </c>
      <c r="C170" s="124" t="n">
        <v>259</v>
      </c>
      <c r="D170" s="85" t="inlineStr">
        <is>
          <t>rationale alignment,</t>
        </is>
      </c>
    </row>
    <row r="171" ht="42" customHeight="1">
      <c r="A171" s="120" t="inlineStr">
        <is>
          <t>Detailed Comments</t>
        </is>
      </c>
      <c r="B171" s="124" t="n">
        <v>44</v>
      </c>
      <c r="C171" s="124" t="n">
        <v>260</v>
      </c>
      <c r="D171" s="85" t="inlineStr">
        <is>
          <t>comparison against legal explanation benchmarks,</t>
        </is>
      </c>
    </row>
    <row r="172" ht="42" customHeight="1">
      <c r="A172" s="120" t="inlineStr">
        <is>
          <t>Detailed Comments</t>
        </is>
      </c>
      <c r="B172" s="124" t="n">
        <v>45</v>
      </c>
      <c r="C172" s="124" t="n">
        <v>261</v>
      </c>
      <c r="D172" s="85" t="inlineStr">
        <is>
          <t>faithfulness metrics beyond masking.</t>
        </is>
      </c>
    </row>
    <row r="173" ht="42" customHeight="1">
      <c r="A173" s="120" t="inlineStr">
        <is>
          <t>Detailed Comments</t>
        </is>
      </c>
      <c r="B173" s="124" t="n">
        <v>46</v>
      </c>
      <c r="C173" s="124" t="n">
        <v>262</v>
      </c>
      <c r="D173" s="85" t="inlineStr">
        <is>
          <t>The ethical section should be expanded substantially.</t>
        </is>
      </c>
    </row>
    <row r="174" ht="42" customHeight="1">
      <c r="A174" s="120" t="inlineStr">
        <is>
          <t>Detailed Comments</t>
        </is>
      </c>
      <c r="B174" s="124" t="n">
        <v>47</v>
      </c>
      <c r="C174" s="124" t="n">
        <v>264</v>
      </c>
      <c r="D174" s="85" t="inlineStr">
        <is>
          <t>Important concerns:</t>
        </is>
      </c>
    </row>
    <row r="175" ht="42" customHeight="1">
      <c r="A175" s="120" t="inlineStr">
        <is>
          <t>Detailed Comments</t>
        </is>
      </c>
      <c r="B175" s="124" t="n">
        <v>48</v>
      </c>
      <c r="C175" s="124" t="n">
        <v>266</v>
      </c>
      <c r="D175" s="85" t="inlineStr">
        <is>
          <t>judge identity leakage,</t>
        </is>
      </c>
    </row>
    <row r="176" ht="42" customHeight="1">
      <c r="A176" s="120" t="inlineStr">
        <is>
          <t>Detailed Comments</t>
        </is>
      </c>
      <c r="B176" s="124" t="n">
        <v>49</v>
      </c>
      <c r="C176" s="124" t="n">
        <v>267</v>
      </c>
      <c r="D176" s="85" t="inlineStr">
        <is>
          <t>procedural bias,</t>
        </is>
      </c>
    </row>
    <row r="177" ht="42" customHeight="1">
      <c r="A177" s="120" t="inlineStr">
        <is>
          <t>Detailed Comments</t>
        </is>
      </c>
      <c r="B177" s="124" t="n">
        <v>50</v>
      </c>
      <c r="C177" s="124" t="n">
        <v>268</v>
      </c>
      <c r="D177" s="85" t="inlineStr">
        <is>
          <t>domain imbalance,</t>
        </is>
      </c>
    </row>
    <row r="178" ht="42" customHeight="1">
      <c r="A178" s="120" t="inlineStr">
        <is>
          <t>Detailed Comments</t>
        </is>
      </c>
      <c r="B178" s="124" t="n">
        <v>51</v>
      </c>
      <c r="C178" s="124" t="n">
        <v>269</v>
      </c>
      <c r="D178" s="85" t="inlineStr">
        <is>
          <t>historical discrimination,</t>
        </is>
      </c>
    </row>
    <row r="179" ht="42" customHeight="1">
      <c r="A179" s="120" t="inlineStr">
        <is>
          <t>Detailed Comments</t>
        </is>
      </c>
      <c r="B179" s="124" t="n">
        <v>52</v>
      </c>
      <c r="C179" s="124" t="n">
        <v>270</v>
      </c>
      <c r="D179" s="85" t="inlineStr">
        <is>
          <t>deployment risks.</t>
        </is>
      </c>
    </row>
    <row r="180" ht="42" customHeight="1">
      <c r="A180" s="120" t="inlineStr">
        <is>
          <t>Detailed Comments</t>
        </is>
      </c>
      <c r="B180" s="124" t="n">
        <v>53</v>
      </c>
      <c r="C180" s="124" t="n">
        <v>272</v>
      </c>
      <c r="D180" s="85" t="inlineStr">
        <is>
          <t>The paper should more carefully discuss:</t>
        </is>
      </c>
    </row>
    <row r="181" ht="42" customHeight="1">
      <c r="A181" s="120" t="inlineStr">
        <is>
          <t>Detailed Comments</t>
        </is>
      </c>
      <c r="B181" s="124" t="n">
        <v>54</v>
      </c>
      <c r="C181" s="124" t="n">
        <v>274</v>
      </c>
      <c r="D181" s="85" t="inlineStr">
        <is>
          <t>whether predictions risk reinforcing judicial inequalities,</t>
        </is>
      </c>
    </row>
    <row r="182" ht="42" customHeight="1">
      <c r="A182" s="120" t="inlineStr">
        <is>
          <t>Detailed Comments</t>
        </is>
      </c>
      <c r="B182" s="124" t="n">
        <v>55</v>
      </c>
      <c r="C182" s="124" t="n">
        <v>275</v>
      </c>
      <c r="D182" s="85" t="inlineStr">
        <is>
          <t>whether the system should ever be used operationally,</t>
        </is>
      </c>
    </row>
    <row r="183" ht="42" customHeight="1">
      <c r="A183" s="120" t="inlineStr">
        <is>
          <t>Detailed Comments</t>
        </is>
      </c>
      <c r="B183" s="124" t="n">
        <v>56</v>
      </c>
      <c r="C183" s="124" t="n">
        <v>276</v>
      </c>
      <c r="D183" s="85" t="inlineStr">
        <is>
          <t>safeguards against misuse.</t>
        </is>
      </c>
    </row>
    <row r="184" ht="42" customHeight="1">
      <c r="A184" s="120" t="inlineStr">
        <is>
          <t>Detailed Comments</t>
        </is>
      </c>
      <c r="B184" s="124" t="n">
        <v>57</v>
      </c>
      <c r="C184" s="124" t="n">
        <v>278</v>
      </c>
      <c r="D184" s="85" t="inlineStr">
        <is>
          <t>The Swiss fairness benchmarking paper would help contextualize this discussion.</t>
        </is>
      </c>
    </row>
    <row r="185" ht="42" customHeight="1">
      <c r="A185" s="120" t="inlineStr">
        <is>
          <t>Detailed Comments</t>
        </is>
      </c>
      <c r="B185" s="124" t="n">
        <v>58</v>
      </c>
      <c r="C185" s="124" t="n">
        <v>280</v>
      </c>
      <c r="D185" s="85" t="inlineStr">
        <is>
          <t>he literature review should be expanded considerably.</t>
        </is>
      </c>
    </row>
    <row r="186" ht="42" customHeight="1">
      <c r="A186" s="120" t="inlineStr">
        <is>
          <t>Detailed Comments</t>
        </is>
      </c>
      <c r="B186" s="124" t="n">
        <v>59</v>
      </c>
      <c r="C186" s="124" t="n">
        <v>282</v>
      </c>
      <c r="D186" s="85" t="inlineStr">
        <is>
          <t>The paper currently under-cites:</t>
        </is>
      </c>
    </row>
    <row r="187" ht="42" customHeight="1">
      <c r="A187" s="120" t="inlineStr">
        <is>
          <t>Detailed Comments</t>
        </is>
      </c>
      <c r="B187" s="124" t="n">
        <v>60</v>
      </c>
      <c r="C187" s="124" t="n">
        <v>284</v>
      </c>
      <c r="D187" s="85" t="inlineStr">
        <is>
          <t>legal reasoning systems,</t>
        </is>
      </c>
    </row>
    <row r="188" ht="42" customHeight="1">
      <c r="A188" s="120" t="inlineStr">
        <is>
          <t>Detailed Comments</t>
        </is>
      </c>
      <c r="B188" s="124" t="n">
        <v>61</v>
      </c>
      <c r="C188" s="124" t="n">
        <v>285</v>
      </c>
      <c r="D188" s="85" t="inlineStr">
        <is>
          <t>factual verification approaches,</t>
        </is>
      </c>
    </row>
    <row r="189" ht="42" customHeight="1">
      <c r="A189" s="120" t="inlineStr">
        <is>
          <t>Detailed Comments</t>
        </is>
      </c>
      <c r="B189" s="124" t="n">
        <v>62</v>
      </c>
      <c r="C189" s="124" t="n">
        <v>286</v>
      </c>
      <c r="D189" s="85" t="inlineStr">
        <is>
          <t>fairness-aware legal AI,</t>
        </is>
      </c>
    </row>
    <row r="190" ht="42" customHeight="1">
      <c r="A190" s="120" t="inlineStr">
        <is>
          <t>Detailed Comments</t>
        </is>
      </c>
      <c r="B190" s="124" t="n">
        <v>63</v>
      </c>
      <c r="C190" s="124" t="n">
        <v>287</v>
      </c>
      <c r="D190" s="85" t="inlineStr">
        <is>
          <t>graph-based legal reasoning,</t>
        </is>
      </c>
    </row>
    <row r="191" ht="42" customHeight="1">
      <c r="A191" s="120" t="inlineStr">
        <is>
          <t>Detailed Comments</t>
        </is>
      </c>
      <c r="B191" s="124" t="n">
        <v>64</v>
      </c>
      <c r="C191" s="124" t="n">
        <v>288</v>
      </c>
      <c r="D191" s="85" t="inlineStr">
        <is>
          <t>explainable judgment prediction.</t>
        </is>
      </c>
    </row>
    <row r="192" ht="42" customHeight="1">
      <c r="A192" s="120" t="inlineStr">
        <is>
          <t>Detailed Comments</t>
        </is>
      </c>
      <c r="B192" s="124" t="n">
        <v>65</v>
      </c>
      <c r="C192" s="124" t="n">
        <v>290</v>
      </c>
      <c r="D192" s="85" t="inlineStr">
        <is>
          <t>The omission of recent Indian legal AI works weakens novelty framing.</t>
        </is>
      </c>
    </row>
    <row r="193" ht="42" customHeight="1">
      <c r="A193" s="120" t="inlineStr">
        <is>
          <t>Detailed Comments</t>
        </is>
      </c>
      <c r="B193" s="124" t="n">
        <v>66</v>
      </c>
      <c r="C193" s="124" t="n">
        <v>292</v>
      </c>
      <c r="D193" s="85" t="inlineStr">
        <is>
          <t>Please add:</t>
        </is>
      </c>
    </row>
    <row r="194" ht="42" customHeight="1">
      <c r="A194" s="120" t="inlineStr">
        <is>
          <t>Detailed Comments</t>
        </is>
      </c>
      <c r="B194" s="124" t="n">
        <v>67</v>
      </c>
      <c r="C194" s="124" t="n">
        <v>294</v>
      </c>
      <c r="D194" s="85" t="inlineStr">
        <is>
          <t>statistical significance tests,</t>
        </is>
      </c>
    </row>
    <row r="195" ht="42" customHeight="1">
      <c r="A195" s="120" t="inlineStr">
        <is>
          <t>Detailed Comments</t>
        </is>
      </c>
      <c r="B195" s="124" t="n">
        <v>68</v>
      </c>
      <c r="C195" s="124" t="n">
        <v>295</v>
      </c>
      <c r="D195" s="85" t="inlineStr">
        <is>
          <t>confidence intervals,</t>
        </is>
      </c>
    </row>
    <row r="196" ht="42" customHeight="1">
      <c r="A196" s="120" t="inlineStr">
        <is>
          <t>Detailed Comments</t>
        </is>
      </c>
      <c r="B196" s="124" t="n">
        <v>69</v>
      </c>
      <c r="C196" s="124" t="n">
        <v>296</v>
      </c>
      <c r="D196" s="85" t="inlineStr">
        <is>
          <t>more baselines,</t>
        </is>
      </c>
    </row>
    <row r="197" ht="42" customHeight="1">
      <c r="A197" s="120" t="inlineStr">
        <is>
          <t>Detailed Comments</t>
        </is>
      </c>
      <c r="B197" s="124" t="n">
        <v>70</v>
      </c>
      <c r="C197" s="124" t="n">
        <v>297</v>
      </c>
      <c r="D197" s="85" t="inlineStr">
        <is>
          <t>error analysis,</t>
        </is>
      </c>
    </row>
    <row r="198" ht="42" customHeight="1">
      <c r="A198" s="120" t="inlineStr">
        <is>
          <t>Detailed Comments</t>
        </is>
      </c>
      <c r="B198" s="124" t="n">
        <v>71</v>
      </c>
      <c r="C198" s="124" t="n">
        <v>298</v>
      </c>
      <c r="D198" s="85" t="inlineStr">
        <is>
          <t>calibration metrics,</t>
        </is>
      </c>
    </row>
    <row r="199" ht="42" customHeight="1">
      <c r="A199" s="120" t="inlineStr">
        <is>
          <t>Detailed Comments</t>
        </is>
      </c>
      <c r="B199" s="124" t="n">
        <v>72</v>
      </c>
      <c r="C199" s="124" t="n">
        <v>299</v>
      </c>
      <c r="D199" s="85" t="inlineStr">
        <is>
          <t>fairness metrics,</t>
        </is>
      </c>
    </row>
    <row r="200" ht="42" customHeight="1">
      <c r="A200" s="120" t="inlineStr">
        <is>
          <t>Detailed Comments</t>
        </is>
      </c>
      <c r="B200" s="124" t="n">
        <v>73</v>
      </c>
      <c r="C200" s="124" t="n">
        <v>300</v>
      </c>
      <c r="D200" s="85" t="inlineStr">
        <is>
          <t>qualitative examples.</t>
        </is>
      </c>
    </row>
    <row r="201" ht="42" customHeight="1">
      <c r="A201" s="120" t="inlineStr">
        <is>
          <t>Paper Type (if accepted)</t>
        </is>
      </c>
      <c r="B201" s="124" t="n">
        <v>1</v>
      </c>
      <c r="C201" s="124" t="n">
        <v>302</v>
      </c>
      <c r="D201" s="85" t="inlineStr">
        <is>
          <t>Should be accepted as a Long Paper</t>
        </is>
      </c>
    </row>
    <row r="202" ht="42" customHeight="1">
      <c r="A202" s="121" t="inlineStr">
        <is>
          <t>Reviewer's confidence</t>
        </is>
      </c>
      <c r="B202" s="125" t="n">
        <v>1</v>
      </c>
      <c r="C202" s="125" t="n">
        <v>304</v>
      </c>
      <c r="D202" s="87" t="inlineStr">
        <is>
          <t>High</t>
        </is>
      </c>
    </row>
  </sheetData>
  <mergeCells count="3">
    <mergeCell ref="A1:D1"/>
    <mergeCell ref="B4:D4"/>
    <mergeCell ref="A6:D6"/>
  </mergeCells>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J34"/>
  <sheetViews>
    <sheetView workbookViewId="0">
      <selection activeCell="A1" sqref="A1"/>
    </sheetView>
  </sheetViews>
  <sheetFormatPr baseColWidth="8" defaultRowHeight="15"/>
  <cols>
    <col width="11" customWidth="1" min="1" max="1"/>
    <col width="24" customWidth="1" min="2" max="2"/>
    <col width="24" customWidth="1" min="3" max="3"/>
    <col width="14" customWidth="1" min="4" max="4"/>
    <col width="78" customWidth="1" min="5" max="5"/>
    <col width="52" customWidth="1" min="6" max="6"/>
    <col width="12" customWidth="1" min="7" max="7"/>
    <col width="16" customWidth="1" min="8" max="8"/>
    <col width="48" customWidth="1" min="9" max="9"/>
    <col width="28" customWidth="1" min="10" max="10"/>
  </cols>
  <sheetData>
    <row r="1" ht="30" customHeight="1">
      <c r="A1" s="9" t="inlineStr">
        <is>
          <t>Reviewer #4 — Revision To-Do Tracker</t>
        </is>
      </c>
      <c r="B1" s="1" t="n"/>
      <c r="C1" s="1" t="n"/>
      <c r="D1" s="1" t="n"/>
      <c r="E1" s="1" t="n"/>
      <c r="F1" s="1" t="n"/>
      <c r="G1" s="1" t="n"/>
      <c r="H1" s="1" t="n"/>
      <c r="I1" s="1" t="n"/>
      <c r="J1" s="1" t="n"/>
    </row>
    <row r="3">
      <c r="A3" s="12" t="inlineStr">
        <is>
          <t>Overall Evaluation</t>
        </is>
      </c>
      <c r="B3" s="18" t="inlineStr">
        <is>
          <t>Weak Reject</t>
        </is>
      </c>
      <c r="C3" s="12" t="inlineStr">
        <is>
          <t>Confidence</t>
        </is>
      </c>
      <c r="D3" t="inlineStr">
        <is>
          <t>High</t>
        </is>
      </c>
      <c r="E3" s="12" t="inlineStr">
        <is>
          <t>Total Tasks</t>
        </is>
      </c>
      <c r="F3">
        <f>COUNTA(A9:A34)</f>
        <v/>
      </c>
      <c r="G3" s="12" t="inlineStr">
        <is>
          <t>Done</t>
        </is>
      </c>
      <c r="H3">
        <f>COUNTIF(H9:H34,"Done")</f>
        <v/>
      </c>
      <c r="I3" s="12" t="inlineStr">
        <is>
          <t>Completion</t>
        </is>
      </c>
      <c r="J3" s="135">
        <f>IF(F3=0,0,H3/F3)</f>
        <v/>
      </c>
    </row>
    <row r="5">
      <c r="A5" s="61" t="inlineStr">
        <is>
          <t>Reviewer quotations are verbatim. Update only the tracking, response, and paper-location columns.</t>
        </is>
      </c>
      <c r="B5" s="1" t="n"/>
      <c r="C5" s="1" t="n"/>
      <c r="D5" s="1" t="n"/>
      <c r="E5" s="1" t="n"/>
      <c r="F5" s="1" t="n"/>
      <c r="G5" s="1" t="n"/>
      <c r="H5" s="1" t="n"/>
      <c r="I5" s="1" t="n"/>
      <c r="J5" s="1" t="n"/>
    </row>
    <row r="8" ht="42" customHeight="1">
      <c r="A8" s="36" t="inlineStr">
        <is>
          <t>Task ID</t>
        </is>
      </c>
      <c r="B8" s="37" t="inlineStr">
        <is>
          <t>Category</t>
        </is>
      </c>
      <c r="C8" s="37" t="inlineStr">
        <is>
          <t>Source Section</t>
        </is>
      </c>
      <c r="D8" s="37" t="inlineStr">
        <is>
          <t>Source Line(s)</t>
        </is>
      </c>
      <c r="E8" s="37" t="inlineStr">
        <is>
          <t>Verbatim Reviewer Point</t>
        </is>
      </c>
      <c r="F8" s="37" t="inlineStr">
        <is>
          <t>Suggested Action</t>
        </is>
      </c>
      <c r="G8" s="37" t="inlineStr">
        <is>
          <t>Priority</t>
        </is>
      </c>
      <c r="H8" s="37" t="inlineStr">
        <is>
          <t>Status</t>
        </is>
      </c>
      <c r="I8" s="37" t="inlineStr">
        <is>
          <t>Author Response / Change Made</t>
        </is>
      </c>
      <c r="J8" s="38" t="inlineStr">
        <is>
          <t>Paper Section / Location</t>
        </is>
      </c>
    </row>
    <row r="9" ht="72" customHeight="1">
      <c r="A9" s="52" t="inlineStr">
        <is>
          <t>R4-01</t>
        </is>
      </c>
      <c r="B9" s="130" t="inlineStr">
        <is>
          <t>Literature review</t>
        </is>
      </c>
      <c r="C9" s="18" t="inlineStr">
        <is>
          <t>Weaknesses</t>
        </is>
      </c>
      <c r="D9" s="18" t="inlineStr">
        <is>
          <t>57, 59</t>
        </is>
      </c>
      <c r="E9" s="24" t="inlineStr">
        <is>
          <t>1. Literature review is incomplete and misses several highly relevant recent works
The related work section is reasonably structured but still incomplete for a top-tier ASONAM submission. Several important recent legal reasoning, explainability, fairness, and Indian legal judgment prediction papers are missing, including:</t>
        </is>
      </c>
      <c r="F9" s="24" t="inlineStr">
        <is>
          <t>Expand the related-work section and strengthen the novelty/research-gap positioning.</t>
        </is>
      </c>
      <c r="G9" s="18" t="inlineStr">
        <is>
          <t>High</t>
        </is>
      </c>
      <c r="H9" s="18" t="inlineStr">
        <is>
          <t>Not Started</t>
        </is>
      </c>
      <c r="I9" s="24" t="str"/>
      <c r="J9" s="85" t="str"/>
    </row>
    <row r="10" ht="95" customHeight="1">
      <c r="A10" s="52" t="inlineStr">
        <is>
          <t>R4-02</t>
        </is>
      </c>
      <c r="B10" s="130" t="inlineStr">
        <is>
          <t>Literature review</t>
        </is>
      </c>
      <c r="C10" s="18" t="inlineStr">
        <is>
          <t>Weaknesses</t>
        </is>
      </c>
      <c r="D10" s="18" t="inlineStr">
        <is>
          <t>61–67</t>
        </is>
      </c>
      <c r="E10" s="24" t="inlineStr">
        <is>
          <t>Legalreasoner
Legal Judgment Reimagined: PredEx and the Rise of Intelligent AI Interpretation in Indian Courts
Iteratively Questioning and Answering for Interpretable Legal Judgment Prediction
Vichara: Appellate Judgment Prediction and Explanation for the Indian Judicial System
Towards Explainability and Fairness in Swiss Judgement Prediction
Tathyanyaya and FactLegalLLaMA
Exploring Graph Neural Networks for Indian Legal Judgment Prediction</t>
        </is>
      </c>
      <c r="F10" s="24" t="inlineStr">
        <is>
          <t>Cite and discuss the listed works where relevant, explaining similarities and differences.</t>
        </is>
      </c>
      <c r="G10" s="18" t="inlineStr">
        <is>
          <t>High</t>
        </is>
      </c>
      <c r="H10" s="18" t="inlineStr">
        <is>
          <t>Not Started</t>
        </is>
      </c>
      <c r="I10" s="24" t="str"/>
      <c r="J10" s="85" t="str"/>
    </row>
    <row r="11" ht="72" customHeight="1">
      <c r="A11" s="52" t="inlineStr">
        <is>
          <t>R4-03</t>
        </is>
      </c>
      <c r="B11" s="130" t="inlineStr">
        <is>
          <t>Novelty positioning</t>
        </is>
      </c>
      <c r="C11" s="18" t="inlineStr">
        <is>
          <t>Weaknesses</t>
        </is>
      </c>
      <c r="D11" s="18" t="inlineStr">
        <is>
          <t>69, 71–77, 79</t>
        </is>
      </c>
      <c r="E11" s="24" t="inlineStr">
        <is>
          <t>These works are particularly important because they directly address:
explainability,
fairness,
reasoning verification,
graph-based legal modeling,
Indian legal prediction,
factual consistency,
interpretable legal AI.
The omission weakens the novelty positioning and research gap formulation.</t>
        </is>
      </c>
      <c r="F11" s="24" t="inlineStr">
        <is>
          <t>Use these themes to revise the novelty statement and research-gap formulation.</t>
        </is>
      </c>
      <c r="G11" s="18" t="inlineStr">
        <is>
          <t>High</t>
        </is>
      </c>
      <c r="H11" s="18" t="inlineStr">
        <is>
          <t>Not Started</t>
        </is>
      </c>
      <c r="I11" s="24" t="str"/>
      <c r="J11" s="85" t="str"/>
    </row>
    <row r="12" ht="190" customHeight="1">
      <c r="A12" s="52" t="inlineStr">
        <is>
          <t>R4-04</t>
        </is>
      </c>
      <c r="B12" s="130" t="inlineStr">
        <is>
          <t>Literature review</t>
        </is>
      </c>
      <c r="C12" s="18" t="inlineStr">
        <is>
          <t>Weaknesses</t>
        </is>
      </c>
      <c r="D12" s="18" t="inlineStr">
        <is>
          <t>81–82</t>
        </is>
      </c>
      <c r="E12" s="24" t="inlineStr">
        <is>
          <t>I have found this but there are many more like 30 related papers:
Shi, W., Zhu, H., Ji, J., Li, M., Zhang, J., Zhang, R., ... &amp; Guo, Y. (2025, July). Legalreasoner: Step-wised verification-correction for legal judgment reasoning. In Proceedings of the 63rd Annual Meeting of the Association for Computational Linguistics (Volume 1: Long Papers) (pp. 7297-7313). Nigam, S. K., Sharma, A., Khanna, D., Shallum, N., Ghosh, K., &amp; Bhattacharya, A. (2024, August). Legal judgment reimagined: PredEx and the rise of intelligent AI interpretation in Indian courts. In Findings of the Association for Computational Linguistics: ACL 2024 (pp. 4296-4315). Zhong, H., Wang, Y., Tu, C., Zhang, T., Liu, Z., &amp; Sun, M. (2020, April). Iteratively questioning and answering for interpretable legal judgment prediction. In Proceedings of the AAAI conference on artificial intelligence (Vol. 34, No. 01, pp. 1250-1257) Nair, P. P., &amp; Anish, P. R. (2026). Vichara: Appellate Judgment Prediction and Explanation for the Indian Judicial System. arXiv preprint arXiv:2602.18346. Santosh, T. Y. S. S., Baumgartner, N., Stürmer, M., Grabmair, M., &amp; Niklaus, J. (2024, May). Towards explainability and fairness in swiss judgement prediction: Benchmarking on a multilingual dataset. In Proceedings of the 2024 Joint International Conference on Computational Linguistics, Language Resources and Evaluation (LREC-COLING 2024) (pp. 16500-16513). Nigam, S. K., Patnaik, B. D., Mishra, S., Shallum, N., Ghosh, K., &amp; Bhattacharya, A. (2025, December). Tathyanyaya and factlegalllama: Advancing factual judgment prediction and explanation in the indian legal context. In Proceedings of the 14th International Joint Conference on Natural Language Processing and the 4th Conference of the Asia-Pacific Chapter of the Association for Computational Linguistics (pp. 985-1002). Khatri, M., Yusuf, M., Kumar, Y., Ratn Shah, R., &amp; Kumaraguru, P. (2023). Exploring Graph Neural Networks for Indian Legal Judgment Prediction. arXiv e-prints, arXiv-2310.</t>
        </is>
      </c>
      <c r="F12" s="24" t="inlineStr">
        <is>
          <t>Review the supplied references, add the most relevant ones, and distinguish the contribution from prior work.</t>
        </is>
      </c>
      <c r="G12" s="18" t="inlineStr">
        <is>
          <t>Medium</t>
        </is>
      </c>
      <c r="H12" s="18" t="inlineStr">
        <is>
          <t>Not Started</t>
        </is>
      </c>
      <c r="I12" s="24" t="str"/>
      <c r="J12" s="85" t="str"/>
    </row>
    <row r="13" ht="72" customHeight="1">
      <c r="A13" s="52" t="inlineStr">
        <is>
          <t>R4-05</t>
        </is>
      </c>
      <c r="B13" s="130" t="inlineStr">
        <is>
          <t>Reproducibility</t>
        </is>
      </c>
      <c r="C13" s="18" t="inlineStr">
        <is>
          <t>Weaknesses</t>
        </is>
      </c>
      <c r="D13" s="18" t="inlineStr">
        <is>
          <t>84, 86</t>
        </is>
      </c>
      <c r="E13" s="24" t="inlineStr">
        <is>
          <t>2. Weak reproducibility despite claims of transparency
Although the paper repeatedly emphasizes auditability and determinism, reproducibility details remain insufficient for full replication.</t>
        </is>
      </c>
      <c r="F13" s="24" t="inlineStr">
        <is>
          <t>Add a compact but complete reproducibility section or appendix.</t>
        </is>
      </c>
      <c r="G13" s="18" t="inlineStr">
        <is>
          <t>High</t>
        </is>
      </c>
      <c r="H13" s="18" t="inlineStr">
        <is>
          <t>Not Started</t>
        </is>
      </c>
      <c r="I13" s="24" t="str"/>
      <c r="J13" s="85" t="str"/>
    </row>
    <row r="14" ht="72" customHeight="1">
      <c r="A14" s="52" t="inlineStr">
        <is>
          <t>R4-06</t>
        </is>
      </c>
      <c r="B14" s="130" t="inlineStr">
        <is>
          <t>Reproducibility</t>
        </is>
      </c>
      <c r="C14" s="18" t="inlineStr">
        <is>
          <t>Weaknesses</t>
        </is>
      </c>
      <c r="D14" s="18" t="inlineStr">
        <is>
          <t>90–99</t>
        </is>
      </c>
      <c r="E14" s="24" t="inlineStr">
        <is>
          <t>Exact hyperparameters for HGT:
hidden dimensions,
attention heads,
dropout,
learning rates,
batch size,
epochs,
scheduler settings,
patience values,
optimizer parameters.</t>
        </is>
      </c>
      <c r="F14" s="24" t="inlineStr">
        <is>
          <t>Add a full HGT hyperparameter table covering every listed setting.</t>
        </is>
      </c>
      <c r="G14" s="18" t="inlineStr">
        <is>
          <t>High</t>
        </is>
      </c>
      <c r="H14" s="18" t="inlineStr">
        <is>
          <t>Not Started</t>
        </is>
      </c>
      <c r="I14" s="24" t="str"/>
      <c r="J14" s="85" t="str"/>
    </row>
    <row r="15" ht="72" customHeight="1">
      <c r="A15" s="52" t="inlineStr">
        <is>
          <t>R4-07</t>
        </is>
      </c>
      <c r="B15" s="130" t="inlineStr">
        <is>
          <t>Graph statistics</t>
        </is>
      </c>
      <c r="C15" s="18" t="inlineStr">
        <is>
          <t>Weaknesses</t>
        </is>
      </c>
      <c r="D15" s="18" t="inlineStr">
        <is>
          <t>100–105</t>
        </is>
      </c>
      <c r="E15" s="24" t="inlineStr">
        <is>
          <t>Graph statistics are absent:
total nodes,
total edges,
average graph size,
edge-type distributions,
entity frequencies.</t>
        </is>
      </c>
      <c r="F15" s="24" t="inlineStr">
        <is>
          <t>Report the requested graph-size and distribution statistics.</t>
        </is>
      </c>
      <c r="G15" s="18" t="inlineStr">
        <is>
          <t>High</t>
        </is>
      </c>
      <c r="H15" s="18" t="inlineStr">
        <is>
          <t>Not Started</t>
        </is>
      </c>
      <c r="I15" s="24" t="str"/>
      <c r="J15" s="85" t="str"/>
    </row>
    <row r="16" ht="72" customHeight="1">
      <c r="A16" s="52" t="inlineStr">
        <is>
          <t>R4-08</t>
        </is>
      </c>
      <c r="B16" s="130" t="inlineStr">
        <is>
          <t>NER &amp; preprocessing</t>
        </is>
      </c>
      <c r="C16" s="18" t="inlineStr">
        <is>
          <t>Weaknesses</t>
        </is>
      </c>
      <c r="D16" s="18" t="inlineStr">
        <is>
          <t>106–112</t>
        </is>
      </c>
      <c r="E16" s="24" t="inlineStr">
        <is>
          <t>NER preprocessing details are unclear:
Which OpenNyAI model version was used?
Was any fine-tuning performed?
How were noisy OCR artifacts handled?
How were multilingual segments processed?
What normalization heuristics were applied?
How were entity collisions/resolution handled?</t>
        </is>
      </c>
      <c r="F16" s="24" t="inlineStr">
        <is>
          <t>Document the exact NER model, fine-tuning status, OCR/multilingual handling, normalization, and entity resolution.</t>
        </is>
      </c>
      <c r="G16" s="18" t="inlineStr">
        <is>
          <t>High</t>
        </is>
      </c>
      <c r="H16" s="18" t="inlineStr">
        <is>
          <t>Not Started</t>
        </is>
      </c>
      <c r="I16" s="24" t="str"/>
      <c r="J16" s="85" t="str"/>
    </row>
    <row r="17" ht="95" customHeight="1">
      <c r="A17" s="52" t="inlineStr">
        <is>
          <t>R4-09</t>
        </is>
      </c>
      <c r="B17" s="130" t="inlineStr">
        <is>
          <t>Label quality</t>
        </is>
      </c>
      <c r="C17" s="18" t="inlineStr">
        <is>
          <t>Weaknesses</t>
        </is>
      </c>
      <c r="D17" s="18" t="inlineStr">
        <is>
          <t>113–120, 122</t>
        </is>
      </c>
      <c r="E17" s="24" t="inlineStr">
        <is>
          <t>Label generation methodology is insufficiently specified:
Exact prompting template missing.
Which LLM generated labels?
Temperature/settings not described.
No annotation quality analysis.
No human validation subset.
No inter-annotator agreement.
No noise estimation.
Given that labels are generated using LLM prompting, this is a major concern because label quality directly determines downstream validity.</t>
        </is>
      </c>
      <c r="F17" s="24" t="inlineStr">
        <is>
          <t>Fully specify label generation and add label-quality validation or a quantified noise analysis.</t>
        </is>
      </c>
      <c r="G17" s="18" t="inlineStr">
        <is>
          <t>High</t>
        </is>
      </c>
      <c r="H17" s="18" t="inlineStr">
        <is>
          <t>Not Started</t>
        </is>
      </c>
      <c r="I17" s="24" t="str"/>
      <c r="J17" s="85" t="str"/>
    </row>
    <row r="18" ht="72" customHeight="1">
      <c r="A18" s="52" t="inlineStr">
        <is>
          <t>R4-10</t>
        </is>
      </c>
      <c r="B18" s="130" t="inlineStr">
        <is>
          <t>Baselines &amp; comparisons</t>
        </is>
      </c>
      <c r="C18" s="18" t="inlineStr">
        <is>
          <t>Weaknesses</t>
        </is>
      </c>
      <c r="D18" s="18" t="inlineStr">
        <is>
          <t>124, 126, 128, 130–135</t>
        </is>
      </c>
      <c r="E18" s="24" t="inlineStr">
        <is>
          <t>3. State-of-the-art comparisons are insufficient
The paper mainly compares against InLegalLlama. This is not enough.
The paper should compare against:
transformer baselines,
hierarchical encoders,
retrieval-based legal models,
graph baselines,
hybrid GNN+Transformer architectures,
explainable legal reasoning systems.</t>
        </is>
      </c>
      <c r="F18" s="24" t="inlineStr">
        <is>
          <t>Add stronger model-family comparisons or explicitly qualify state-of-the-art claims.</t>
        </is>
      </c>
      <c r="G18" s="18" t="inlineStr">
        <is>
          <t>High</t>
        </is>
      </c>
      <c r="H18" s="18" t="inlineStr">
        <is>
          <t>Not Started</t>
        </is>
      </c>
      <c r="I18" s="24" t="str"/>
      <c r="J18" s="85" t="str"/>
    </row>
    <row r="19" ht="72" customHeight="1">
      <c r="A19" s="52" t="inlineStr">
        <is>
          <t>R4-11</t>
        </is>
      </c>
      <c r="B19" s="130" t="inlineStr">
        <is>
          <t>Baselines &amp; comparisons</t>
        </is>
      </c>
      <c r="C19" s="18" t="inlineStr">
        <is>
          <t>Weaknesses</t>
        </is>
      </c>
      <c r="D19" s="18" t="inlineStr">
        <is>
          <t>139, 141–145</t>
        </is>
      </c>
      <c r="E19" s="24" t="inlineStr">
        <is>
          <t>In particular, comparisons are missing against:
ILDC baselines,
PredEx,
graph legal prediction architectures,
legal reasoning systems with chain-of-thought or verification,
recent legal explanation models.</t>
        </is>
      </c>
      <c r="F19" s="24" t="inlineStr">
        <is>
          <t>Compare against the specifically named baseline families where feasible.</t>
        </is>
      </c>
      <c r="G19" s="18" t="inlineStr">
        <is>
          <t>High</t>
        </is>
      </c>
      <c r="H19" s="18" t="inlineStr">
        <is>
          <t>Not Started</t>
        </is>
      </c>
      <c r="I19" s="24" t="str"/>
      <c r="J19" s="85" t="str"/>
    </row>
    <row r="20" ht="72" customHeight="1">
      <c r="A20" s="52" t="inlineStr">
        <is>
          <t>R4-12</t>
        </is>
      </c>
      <c r="B20" s="130" t="inlineStr">
        <is>
          <t>Statistical rigor</t>
        </is>
      </c>
      <c r="C20" s="18" t="inlineStr">
        <is>
          <t>Weaknesses</t>
        </is>
      </c>
      <c r="D20" s="18" t="inlineStr">
        <is>
          <t>147, 149–153</t>
        </is>
      </c>
      <c r="E20" s="24" t="inlineStr">
        <is>
          <t>Additionally:
No statistical significance testing is reported.
No variance/std over folds.
Macro-F1 is reported inconsistently.
No calibration metrics.
No fairness metrics.</t>
        </is>
      </c>
      <c r="F20" s="24" t="inlineStr">
        <is>
          <t>Add significance testing, fold variance, consistent macro-F1 reporting, calibration, and fairness metrics.</t>
        </is>
      </c>
      <c r="G20" s="18" t="inlineStr">
        <is>
          <t>High</t>
        </is>
      </c>
      <c r="H20" s="18" t="inlineStr">
        <is>
          <t>Not Started</t>
        </is>
      </c>
      <c r="I20" s="24" t="str"/>
      <c r="J20" s="85" t="str"/>
    </row>
    <row r="21" ht="95" customHeight="1">
      <c r="A21" s="52" t="inlineStr">
        <is>
          <t>R4-13</t>
        </is>
      </c>
      <c r="B21" s="130" t="inlineStr">
        <is>
          <t>Fairness &amp; ethics</t>
        </is>
      </c>
      <c r="C21" s="18" t="inlineStr">
        <is>
          <t>Weaknesses</t>
        </is>
      </c>
      <c r="D21" s="18" t="inlineStr">
        <is>
          <t>155, 157, 159, 161–164</t>
        </is>
      </c>
      <c r="E21" s="24" t="inlineStr">
        <is>
          <t>. Ethical analysis remains superficial
The paper acknowledges bias concerns but does not analyze them rigorously.
Particularly concerning issues:
The model still relies partially on judge/court identity signals.
Historical judicial bias may be encoded into learned representations.
Procedural inequities may propagate into predictions.
Certain legal domains may disproportionately affect marginalized groups.</t>
        </is>
      </c>
      <c r="F21" s="24" t="inlineStr">
        <is>
          <t>Expand the bias analysis and explicitly address identity signals, historical bias, procedural inequity, and domain impacts.</t>
        </is>
      </c>
      <c r="G21" s="18" t="inlineStr">
        <is>
          <t>High</t>
        </is>
      </c>
      <c r="H21" s="18" t="inlineStr">
        <is>
          <t>Not Started</t>
        </is>
      </c>
      <c r="I21" s="24" t="str"/>
      <c r="J21" s="85" t="str"/>
    </row>
    <row r="22" ht="72" customHeight="1">
      <c r="A22" s="52" t="inlineStr">
        <is>
          <t>R4-14</t>
        </is>
      </c>
      <c r="B22" s="130" t="inlineStr">
        <is>
          <t>Fairness &amp; ethics</t>
        </is>
      </c>
      <c r="C22" s="18" t="inlineStr">
        <is>
          <t>Weaknesses</t>
        </is>
      </c>
      <c r="D22" s="18" t="inlineStr">
        <is>
          <t>166, 168–174</t>
        </is>
      </c>
      <c r="E22" s="24" t="inlineStr">
        <is>
          <t>The paper should include:
fairness analysis across domains,
judge-level bias audits,
demographic or regional bias discussion (where legally permissible),
sensitivity analyses,
ethical deployment constraints.
The fairness discussion is currently too short for a high-impact legal AI paper.</t>
        </is>
      </c>
      <c r="F22" s="24" t="inlineStr">
        <is>
          <t>Add the requested fairness audits, sensitivity analysis, and deployment constraints.</t>
        </is>
      </c>
      <c r="G22" s="18" t="inlineStr">
        <is>
          <t>High</t>
        </is>
      </c>
      <c r="H22" s="18" t="inlineStr">
        <is>
          <t>Not Started</t>
        </is>
      </c>
      <c r="I22" s="24" t="str"/>
      <c r="J22" s="85" t="str"/>
    </row>
    <row r="23" ht="95" customHeight="1">
      <c r="A23" s="52" t="inlineStr">
        <is>
          <t>R4-15</t>
        </is>
      </c>
      <c r="B23" s="130" t="inlineStr">
        <is>
          <t>Explainability</t>
        </is>
      </c>
      <c r="C23" s="18" t="inlineStr">
        <is>
          <t>Weaknesses</t>
        </is>
      </c>
      <c r="D23" s="18" t="inlineStr">
        <is>
          <t>176, 178, 180–185</t>
        </is>
      </c>
      <c r="E23" s="24" t="inlineStr">
        <is>
          <t>5. Explainability claims are overstated
The paper frequently contrasts its system with LLMs and claims superior interpretability. However:
Counterfactual masking alone does not guarantee causal explanation.
Attention and graph attribution methods are still approximations.
Structural traceability is not equivalent to legal reasoning faithfulness.
No human legal expert evaluation of explanations is performed.
Claims such as “mathematically auditable” are somewhat overstated without external legal validation.</t>
        </is>
      </c>
      <c r="F23" s="24" t="inlineStr">
        <is>
          <t>Qualify causal/auditability claims and add stronger explanation validation.</t>
        </is>
      </c>
      <c r="G23" s="18" t="inlineStr">
        <is>
          <t>High</t>
        </is>
      </c>
      <c r="H23" s="18" t="inlineStr">
        <is>
          <t>Not Started</t>
        </is>
      </c>
      <c r="I23" s="24" t="str"/>
      <c r="J23" s="85" t="str"/>
    </row>
    <row r="24" ht="72" customHeight="1">
      <c r="A24" s="52" t="inlineStr">
        <is>
          <t>R4-16</t>
        </is>
      </c>
      <c r="B24" s="130" t="inlineStr">
        <is>
          <t>Claims &amp; writing</t>
        </is>
      </c>
      <c r="C24" s="18" t="inlineStr">
        <is>
          <t>Weaknesses</t>
        </is>
      </c>
      <c r="D24" s="18" t="inlineStr">
        <is>
          <t>187–190</t>
        </is>
      </c>
      <c r="E24" s="24" t="inlineStr">
        <is>
          <t>Minor Weaknesses
Some sections are overly promotional toward GNNs and overly dismissive toward LLMs.
The paper occasionally conflates correlation with legal reasoning.
The temporal analysis is interesting but evaluated only on 309 cases, which is relatively small.</t>
        </is>
      </c>
      <c r="F24" s="24" t="inlineStr">
        <is>
          <t>Reduce promotional language, avoid dismissive LLM framing, and distinguish correlation from legal reasoning.</t>
        </is>
      </c>
      <c r="G24" s="18" t="inlineStr">
        <is>
          <t>Medium</t>
        </is>
      </c>
      <c r="H24" s="18" t="inlineStr">
        <is>
          <t>Not Started</t>
        </is>
      </c>
      <c r="I24" s="24" t="str"/>
      <c r="J24" s="85" t="str"/>
    </row>
    <row r="25" ht="72" customHeight="1">
      <c r="A25" s="52" t="inlineStr">
        <is>
          <t>R4-17</t>
        </is>
      </c>
      <c r="B25" s="130" t="inlineStr">
        <is>
          <t>Efficiency &amp; scalability</t>
        </is>
      </c>
      <c r="C25" s="18" t="inlineStr">
        <is>
          <t>Weaknesses</t>
        </is>
      </c>
      <c r="D25" s="18" t="inlineStr">
        <is>
          <t>191–192</t>
        </is>
      </c>
      <c r="E25" s="24" t="inlineStr">
        <is>
          <t>No computational cost/runtime analysis.
No discussion of scalability for larger judicial corpora.</t>
        </is>
      </c>
      <c r="F25" s="24" t="inlineStr">
        <is>
          <t>Add computational cost, training/inference runtime, and scalability discussion.</t>
        </is>
      </c>
      <c r="G25" s="18" t="inlineStr">
        <is>
          <t>Medium</t>
        </is>
      </c>
      <c r="H25" s="18" t="inlineStr">
        <is>
          <t>Not Started</t>
        </is>
      </c>
      <c r="I25" s="24" t="str"/>
      <c r="J25" s="85" t="str"/>
    </row>
    <row r="26" ht="72" customHeight="1">
      <c r="A26" s="52" t="inlineStr">
        <is>
          <t>R4-18</t>
        </is>
      </c>
      <c r="B26" s="130" t="inlineStr">
        <is>
          <t>Ablations &amp; architecture</t>
        </is>
      </c>
      <c r="C26" s="18" t="inlineStr">
        <is>
          <t>Weaknesses</t>
        </is>
      </c>
      <c r="D26" s="18" t="inlineStr">
        <is>
          <t>193</t>
        </is>
      </c>
      <c r="E26" s="24" t="inlineStr">
        <is>
          <t>No ablation on rhetorical-role removal specifically.</t>
        </is>
      </c>
      <c r="F26" s="24" t="inlineStr">
        <is>
          <t>Add a rhetorical-role removal ablation or explain its absence.</t>
        </is>
      </c>
      <c r="G26" s="18" t="inlineStr">
        <is>
          <t>Medium</t>
        </is>
      </c>
      <c r="H26" s="18" t="inlineStr">
        <is>
          <t>Not Started</t>
        </is>
      </c>
      <c r="I26" s="24" t="str"/>
      <c r="J26" s="85" t="str"/>
    </row>
    <row r="27" ht="72" customHeight="1">
      <c r="A27" s="52" t="inlineStr">
        <is>
          <t>R4-19</t>
        </is>
      </c>
      <c r="B27" s="130" t="inlineStr">
        <is>
          <t>Error analysis</t>
        </is>
      </c>
      <c r="C27" s="18" t="inlineStr">
        <is>
          <t>Weaknesses</t>
        </is>
      </c>
      <c r="D27" s="18" t="inlineStr">
        <is>
          <t>194–195</t>
        </is>
      </c>
      <c r="E27" s="24" t="inlineStr">
        <is>
          <t>No error analysis examples.
No qualitative case studies from actual predictions.</t>
        </is>
      </c>
      <c r="F27" s="24" t="inlineStr">
        <is>
          <t>Add concrete error examples and qualitative prediction case studies.</t>
        </is>
      </c>
      <c r="G27" s="18" t="inlineStr">
        <is>
          <t>Medium</t>
        </is>
      </c>
      <c r="H27" s="18" t="inlineStr">
        <is>
          <t>Not Started</t>
        </is>
      </c>
      <c r="I27" s="24" t="str"/>
      <c r="J27" s="85" t="str"/>
    </row>
    <row r="28" ht="95" customHeight="1">
      <c r="A28" s="52" t="inlineStr">
        <is>
          <t>R4-20</t>
        </is>
      </c>
      <c r="B28" s="130" t="inlineStr">
        <is>
          <t>Reproducibility</t>
        </is>
      </c>
      <c r="C28" s="18" t="inlineStr">
        <is>
          <t>Detailed Comments</t>
        </is>
      </c>
      <c r="D28" s="18" t="inlineStr">
        <is>
          <t>212, 214, 216–226</t>
        </is>
      </c>
      <c r="E28" s="24" t="inlineStr">
        <is>
          <t>The paper strongly emphasizes transparency and auditability, but reproducibility remains incomplete.
Please provide:
complete hyperparameter tables,
graph construction statistics,
exact preprocessing pipeline,
NER model versions,
OCR handling procedures,
prompt templates,
random seeds,
hardware setup,
training time.
The repository is appreciated, but the paper itself should contain enough information for independent reproduction.</t>
        </is>
      </c>
      <c r="F28" s="24" t="inlineStr">
        <is>
          <t>Ensure the paper itself contains the complete reproduction package listed by the reviewer.</t>
        </is>
      </c>
      <c r="G28" s="18" t="inlineStr">
        <is>
          <t>High</t>
        </is>
      </c>
      <c r="H28" s="18" t="inlineStr">
        <is>
          <t>Not Started</t>
        </is>
      </c>
      <c r="I28" s="24" t="str"/>
      <c r="J28" s="85" t="str"/>
    </row>
    <row r="29" ht="95" customHeight="1">
      <c r="A29" s="52" t="inlineStr">
        <is>
          <t>R4-21</t>
        </is>
      </c>
      <c r="B29" s="130" t="inlineStr">
        <is>
          <t>Label quality</t>
        </is>
      </c>
      <c r="C29" s="18" t="inlineStr">
        <is>
          <t>Detailed Comments</t>
        </is>
      </c>
      <c r="D29" s="18" t="inlineStr">
        <is>
          <t>228, 230, 232–238</t>
        </is>
      </c>
      <c r="E29" s="24" t="inlineStr">
        <is>
          <t>The paper states that labels are generated via “consistency-checked LLM prompts”, but this process is under-described.
Questions:
Which LLM was used?
How often did prompts disagree?
How were conflicts resolved?
Was any manual validation performed?
What is the estimated label noise?
This is extremely important because weak labels can introduce systematic bias.</t>
        </is>
      </c>
      <c r="F29" s="24" t="inlineStr">
        <is>
          <t>Answer each label-generation question explicitly and quantify validation/noise.</t>
        </is>
      </c>
      <c r="G29" s="18" t="inlineStr">
        <is>
          <t>High</t>
        </is>
      </c>
      <c r="H29" s="18" t="inlineStr">
        <is>
          <t>Not Started</t>
        </is>
      </c>
      <c r="I29" s="24" t="str"/>
      <c r="J29" s="85" t="str"/>
    </row>
    <row r="30" ht="72" customHeight="1">
      <c r="A30" s="52" t="inlineStr">
        <is>
          <t>R4-22</t>
        </is>
      </c>
      <c r="B30" s="130" t="inlineStr">
        <is>
          <t>NER &amp; preprocessing</t>
        </is>
      </c>
      <c r="C30" s="18" t="inlineStr">
        <is>
          <t>Detailed Comments</t>
        </is>
      </c>
      <c r="D30" s="18" t="inlineStr">
        <is>
          <t>240, 242, 244–252</t>
        </is>
      </c>
      <c r="E30" s="24" t="inlineStr">
        <is>
          <t>The NER pipeline requires substantially more detail.
Please clarify:
handling of multilingual legal text,
OCR correction,
entity normalization,
provision parsing heuristics,
canonicalization strategy,
ambiguity resolution,
missing entity cases.
This is particularly important because graph quality directly depends on entity quality.</t>
        </is>
      </c>
      <c r="F30" s="24" t="inlineStr">
        <is>
          <t>Add a step-by-step NER and entity-resolution pipeline covering every listed issue.</t>
        </is>
      </c>
      <c r="G30" s="18" t="inlineStr">
        <is>
          <t>High</t>
        </is>
      </c>
      <c r="H30" s="18" t="inlineStr">
        <is>
          <t>Not Started</t>
        </is>
      </c>
      <c r="I30" s="24" t="str"/>
      <c r="J30" s="85" t="str"/>
    </row>
    <row r="31" ht="72" customHeight="1">
      <c r="A31" s="52" t="inlineStr">
        <is>
          <t>R4-23</t>
        </is>
      </c>
      <c r="B31" s="130" t="inlineStr">
        <is>
          <t>Explainability</t>
        </is>
      </c>
      <c r="C31" s="18" t="inlineStr">
        <is>
          <t>Detailed Comments</t>
        </is>
      </c>
      <c r="D31" s="18" t="inlineStr">
        <is>
          <t>254, 256, 258–261</t>
        </is>
      </c>
      <c r="E31" s="24" t="inlineStr">
        <is>
          <t>he explainability section is one of the strongest parts of the paper, but stronger validation is needed.
Suggestions:
human legal expert evaluation,
rationale alignment,
comparison against legal explanation benchmarks,
faithfulness metrics beyond masking.</t>
        </is>
      </c>
      <c r="F31" s="24" t="inlineStr">
        <is>
          <t>Add stronger explanation validation, ideally expert/rationale alignment and additional faithfulness metrics.</t>
        </is>
      </c>
      <c r="G31" s="18" t="inlineStr">
        <is>
          <t>High</t>
        </is>
      </c>
      <c r="H31" s="18" t="inlineStr">
        <is>
          <t>Not Started</t>
        </is>
      </c>
      <c r="I31" s="24" t="str"/>
      <c r="J31" s="85" t="str"/>
    </row>
    <row r="32" ht="95" customHeight="1">
      <c r="A32" s="52" t="inlineStr">
        <is>
          <t>R4-24</t>
        </is>
      </c>
      <c r="B32" s="130" t="inlineStr">
        <is>
          <t>Fairness &amp; ethics</t>
        </is>
      </c>
      <c r="C32" s="18" t="inlineStr">
        <is>
          <t>Detailed Comments</t>
        </is>
      </c>
      <c r="D32" s="18" t="inlineStr">
        <is>
          <t>262, 264, 266–278</t>
        </is>
      </c>
      <c r="E32" s="24" t="inlineStr">
        <is>
          <t>The ethical section should be expanded substantially.
Important concerns:
judge identity leakage,
procedural bias,
domain imbalance,
historical discrimination,
deployment risks.
The paper should more carefully discuss:
whether predictions risk reinforcing judicial inequalities,
whether the system should ever be used operationally,
safeguards against misuse.
The Swiss fairness benchmarking paper would help contextualize this discussion.</t>
        </is>
      </c>
      <c r="F32" s="24" t="inlineStr">
        <is>
          <t>Expand ethical risks, operational-use boundaries, and safeguards against misuse.</t>
        </is>
      </c>
      <c r="G32" s="18" t="inlineStr">
        <is>
          <t>High</t>
        </is>
      </c>
      <c r="H32" s="18" t="inlineStr">
        <is>
          <t>Not Started</t>
        </is>
      </c>
      <c r="I32" s="24" t="str"/>
      <c r="J32" s="85" t="str"/>
    </row>
    <row r="33" ht="72" customHeight="1">
      <c r="A33" s="52" t="inlineStr">
        <is>
          <t>R4-25</t>
        </is>
      </c>
      <c r="B33" s="130" t="inlineStr">
        <is>
          <t>Literature review</t>
        </is>
      </c>
      <c r="C33" s="18" t="inlineStr">
        <is>
          <t>Detailed Comments</t>
        </is>
      </c>
      <c r="D33" s="18" t="inlineStr">
        <is>
          <t>280, 282, 284–290</t>
        </is>
      </c>
      <c r="E33" s="24" t="inlineStr">
        <is>
          <t>he literature review should be expanded considerably.
The paper currently under-cites:
legal reasoning systems,
factual verification approaches,
fairness-aware legal AI,
graph-based legal reasoning,
explainable judgment prediction.
The omission of recent Indian legal AI works weakens novelty framing.</t>
        </is>
      </c>
      <c r="F33" s="24" t="inlineStr">
        <is>
          <t>Expand citations across the listed legal-AI areas and revise novelty framing.</t>
        </is>
      </c>
      <c r="G33" s="18" t="inlineStr">
        <is>
          <t>High</t>
        </is>
      </c>
      <c r="H33" s="18" t="inlineStr">
        <is>
          <t>Not Started</t>
        </is>
      </c>
      <c r="I33" s="24" t="str"/>
      <c r="J33" s="85" t="str"/>
    </row>
    <row r="34" ht="72" customHeight="1">
      <c r="A34" s="53" t="inlineStr">
        <is>
          <t>R4-26</t>
        </is>
      </c>
      <c r="B34" s="131" t="inlineStr">
        <is>
          <t>Evaluation completeness</t>
        </is>
      </c>
      <c r="C34" s="42" t="inlineStr">
        <is>
          <t>Detailed Comments</t>
        </is>
      </c>
      <c r="D34" s="42" t="inlineStr">
        <is>
          <t>292, 294–300</t>
        </is>
      </c>
      <c r="E34" s="90" t="inlineStr">
        <is>
          <t>Please add:
statistical significance tests,
confidence intervals,
more baselines,
error analysis,
calibration metrics,
fairness metrics,
qualitative examples.</t>
        </is>
      </c>
      <c r="F34" s="90" t="inlineStr">
        <is>
          <t>Add the requested statistical tests, intervals, baselines, error analysis, calibration, fairness metrics, and examples.</t>
        </is>
      </c>
      <c r="G34" s="42" t="inlineStr">
        <is>
          <t>High</t>
        </is>
      </c>
      <c r="H34" s="42" t="inlineStr">
        <is>
          <t>Not Started</t>
        </is>
      </c>
      <c r="I34" s="90" t="str"/>
      <c r="J34" s="87" t="str"/>
    </row>
  </sheetData>
  <mergeCells count="2">
    <mergeCell ref="A1:J1"/>
    <mergeCell ref="A5:J5"/>
  </mergeCells>
  <conditionalFormatting sqref="H9:H34">
    <cfRule type="expression" priority="1" dxfId="0">
      <formula>H9="Done"</formula>
    </cfRule>
    <cfRule type="expression" priority="2" dxfId="1">
      <formula>H9="In Progress"</formula>
    </cfRule>
    <cfRule type="expression" priority="3" dxfId="2">
      <formula>H9="Not Started"</formula>
    </cfRule>
    <cfRule type="expression" priority="4" dxfId="3">
      <formula>H9="Not Applicable"</formula>
    </cfRule>
  </conditionalFormatting>
  <dataValidations count="2">
    <dataValidation sqref="G9:G34" showDropDown="0" showInputMessage="0" showErrorMessage="0" allowBlank="0" type="list">
      <formula1>"High,Medium,Low"</formula1>
    </dataValidation>
    <dataValidation sqref="H9:H34" showDropDown="0" showInputMessage="0" showErrorMessage="0" allowBlank="0" type="list">
      <formula1>"Not Started,In Progress,Done,Not Applicable"</formula1>
    </dataValidation>
  </dataValidations>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24" customWidth="1" min="1" max="1"/>
    <col width="10" customWidth="1" min="2" max="2"/>
    <col width="12" customWidth="1" min="3" max="3"/>
    <col width="95" customWidth="1" min="4" max="4"/>
  </cols>
  <sheetData>
    <row r="1" ht="30" customHeight="1">
      <c r="A1" s="9" t="inlineStr">
        <is>
          <t>Reviewer #5 — Complete Review (Verbatim)</t>
        </is>
      </c>
      <c r="B1" s="1" t="n"/>
      <c r="C1" s="1" t="n"/>
      <c r="D1" s="1" t="n"/>
    </row>
    <row r="3">
      <c r="A3" s="12" t="inlineStr">
        <is>
          <t>Overall Evaluation</t>
        </is>
      </c>
      <c r="B3" s="18" t="inlineStr">
        <is>
          <t>Accept</t>
        </is>
      </c>
      <c r="C3" s="19" t="inlineStr">
        <is>
          <t>Confidence</t>
        </is>
      </c>
      <c r="D3" s="18" t="inlineStr">
        <is>
          <t>High</t>
        </is>
      </c>
    </row>
    <row r="4">
      <c r="A4" s="12" t="inlineStr">
        <is>
          <t>Paper Type</t>
        </is>
      </c>
      <c r="B4" s="22" t="inlineStr">
        <is>
          <t>Should be accepted as a Long Paper</t>
        </is>
      </c>
      <c r="C4" s="1" t="n"/>
      <c r="D4" s="1" t="n"/>
    </row>
    <row r="6">
      <c r="A6" s="61" t="inlineStr">
        <is>
          <t>All wording below is copied directly from the uploaded review text.</t>
        </is>
      </c>
      <c r="B6" s="1" t="n"/>
      <c r="C6" s="1" t="n"/>
      <c r="D6" s="1" t="n"/>
    </row>
    <row r="7" ht="32" customHeight="1">
      <c r="A7" s="36" t="inlineStr">
        <is>
          <t>Section</t>
        </is>
      </c>
      <c r="B7" s="37" t="inlineStr">
        <is>
          <t>Point #</t>
        </is>
      </c>
      <c r="C7" s="37" t="inlineStr">
        <is>
          <t>Source Line</t>
        </is>
      </c>
      <c r="D7" s="38" t="inlineStr">
        <is>
          <t>Verbatim Reviewer Text</t>
        </is>
      </c>
    </row>
    <row r="8" ht="78" customHeight="1">
      <c r="A8" s="120" t="inlineStr">
        <is>
          <t>Paper Summary</t>
        </is>
      </c>
      <c r="B8" s="124" t="n">
        <v>1</v>
      </c>
      <c r="C8" s="124" t="n">
        <v>308</v>
      </c>
      <c r="D8" s="85" t="inlineStr">
        <is>
          <t>This paper presents a graph embedding based frame- work for Legal Judgment Prediction over Indian court decisions. The approach constructs a heterogeneous knowledge graph from raw judg- ments using legal named entities, rhetorical-roles of texts and outcome labels after multi-hearing case consolidation. Additionally, we introduce a comprehensively annotated dataset of over 73,000 Indian court cases spanning five legal domains, which will be released to support down- stream legal NLP research. The proposed framework, using a Heteroge- neous Graph Transformer, achieves 80.6% accuracy and a 0.796 macro-F1 score in the pooled cross-domain setting. The pipeline also incorporates explainability that identifies the entities that maximally influence each prediction.</t>
        </is>
      </c>
    </row>
    <row r="9" ht="42" customHeight="1">
      <c r="A9" s="120" t="inlineStr">
        <is>
          <t>Strengths</t>
        </is>
      </c>
      <c r="B9" s="124" t="n">
        <v>1</v>
      </c>
      <c r="C9" s="124" t="n">
        <v>310</v>
      </c>
      <c r="D9" s="85" t="inlineStr">
        <is>
          <t>good modeling of legal influencing forces in a graph</t>
        </is>
      </c>
    </row>
    <row r="10" ht="42" customHeight="1">
      <c r="A10" s="120" t="inlineStr">
        <is>
          <t>Strengths</t>
        </is>
      </c>
      <c r="B10" s="124" t="n">
        <v>2</v>
      </c>
      <c r="C10" s="124" t="n">
        <v>311</v>
      </c>
      <c r="D10" s="85" t="inlineStr">
        <is>
          <t>good dataset description.</t>
        </is>
      </c>
    </row>
    <row r="11" ht="42" customHeight="1">
      <c r="A11" s="120" t="inlineStr">
        <is>
          <t>Strengths</t>
        </is>
      </c>
      <c r="B11" s="124" t="n">
        <v>3</v>
      </c>
      <c r="C11" s="124" t="n">
        <v>312</v>
      </c>
      <c r="D11" s="85" t="inlineStr">
        <is>
          <t>the workflow implemented is clear.</t>
        </is>
      </c>
    </row>
    <row r="12" ht="42" customHeight="1">
      <c r="A12" s="120" t="inlineStr">
        <is>
          <t>Strengths</t>
        </is>
      </c>
      <c r="B12" s="124" t="n">
        <v>4</v>
      </c>
      <c r="C12" s="124" t="n">
        <v>313</v>
      </c>
      <c r="D12" s="85" t="inlineStr">
        <is>
          <t>both a framework and a dataset are presented.</t>
        </is>
      </c>
    </row>
    <row r="13" ht="42" customHeight="1">
      <c r="A13" s="120" t="inlineStr">
        <is>
          <t>Weaknesses</t>
        </is>
      </c>
      <c r="B13" s="124" t="n">
        <v>1</v>
      </c>
      <c r="C13" s="124" t="n">
        <v>315</v>
      </c>
      <c r="D13" s="85" t="inlineStr">
        <is>
          <t>it would be desirable to provide the framework and dataset on a Github repo.</t>
        </is>
      </c>
    </row>
    <row r="14" ht="42" customHeight="1">
      <c r="A14" s="120" t="inlineStr">
        <is>
          <t>Overall evaluation</t>
        </is>
      </c>
      <c r="B14" s="124" t="n">
        <v>1</v>
      </c>
      <c r="C14" s="124" t="n">
        <v>317</v>
      </c>
      <c r="D14" s="85" t="inlineStr">
        <is>
          <t>Accept</t>
        </is>
      </c>
    </row>
    <row r="15" ht="42" customHeight="1">
      <c r="A15" s="120" t="inlineStr">
        <is>
          <t>Detailed Comments</t>
        </is>
      </c>
      <c r="B15" s="124" t="n">
        <v>1</v>
      </c>
      <c r="C15" s="124" t="n">
        <v>319</v>
      </c>
      <c r="D15" s="85" t="inlineStr">
        <is>
          <t>good modeling of legal influencing forces in a graph</t>
        </is>
      </c>
    </row>
    <row r="16" ht="42" customHeight="1">
      <c r="A16" s="120" t="inlineStr">
        <is>
          <t>Detailed Comments</t>
        </is>
      </c>
      <c r="B16" s="124" t="n">
        <v>2</v>
      </c>
      <c r="C16" s="124" t="n">
        <v>320</v>
      </c>
      <c r="D16" s="85" t="inlineStr">
        <is>
          <t>good dataset description.</t>
        </is>
      </c>
    </row>
    <row r="17" ht="42" customHeight="1">
      <c r="A17" s="120" t="inlineStr">
        <is>
          <t>Detailed Comments</t>
        </is>
      </c>
      <c r="B17" s="124" t="n">
        <v>3</v>
      </c>
      <c r="C17" s="124" t="n">
        <v>321</v>
      </c>
      <c r="D17" s="85" t="inlineStr">
        <is>
          <t>the workflow implemented is clear.</t>
        </is>
      </c>
    </row>
    <row r="18" ht="42" customHeight="1">
      <c r="A18" s="120" t="inlineStr">
        <is>
          <t>Detailed Comments</t>
        </is>
      </c>
      <c r="B18" s="124" t="n">
        <v>4</v>
      </c>
      <c r="C18" s="124" t="n">
        <v>322</v>
      </c>
      <c r="D18" s="85" t="inlineStr">
        <is>
          <t>both a framework and a dataset are presented.</t>
        </is>
      </c>
    </row>
    <row r="19" ht="42" customHeight="1">
      <c r="A19" s="120" t="inlineStr">
        <is>
          <t>Paper Type (if accepted)</t>
        </is>
      </c>
      <c r="B19" s="124" t="n">
        <v>1</v>
      </c>
      <c r="C19" s="124" t="n">
        <v>324</v>
      </c>
      <c r="D19" s="85" t="inlineStr">
        <is>
          <t>Should be accepted as a Long Paper</t>
        </is>
      </c>
    </row>
    <row r="20" ht="42" customHeight="1">
      <c r="A20" s="121" t="inlineStr">
        <is>
          <t>Reviewer's confidence</t>
        </is>
      </c>
      <c r="B20" s="125" t="n">
        <v>1</v>
      </c>
      <c r="C20" s="125" t="n">
        <v>326</v>
      </c>
      <c r="D20" s="87" t="inlineStr">
        <is>
          <t>High</t>
        </is>
      </c>
    </row>
  </sheetData>
  <mergeCells count="3">
    <mergeCell ref="A1:D1"/>
    <mergeCell ref="B4:D4"/>
    <mergeCell ref="A6:D6"/>
  </mergeCells>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cols>
    <col width="11" customWidth="1" min="1" max="1"/>
    <col width="24" customWidth="1" min="2" max="2"/>
    <col width="24" customWidth="1" min="3" max="3"/>
    <col width="14" customWidth="1" min="4" max="4"/>
    <col width="78" customWidth="1" min="5" max="5"/>
    <col width="52" customWidth="1" min="6" max="6"/>
    <col width="12" customWidth="1" min="7" max="7"/>
    <col width="16" customWidth="1" min="8" max="8"/>
    <col width="48" customWidth="1" min="9" max="9"/>
    <col width="28" customWidth="1" min="10" max="10"/>
  </cols>
  <sheetData>
    <row r="1" ht="30" customHeight="1">
      <c r="A1" s="9" t="inlineStr">
        <is>
          <t>Reviewer #5 — Revision To-Do Tracker</t>
        </is>
      </c>
      <c r="B1" s="1" t="n"/>
      <c r="C1" s="1" t="n"/>
      <c r="D1" s="1" t="n"/>
      <c r="E1" s="1" t="n"/>
      <c r="F1" s="1" t="n"/>
      <c r="G1" s="1" t="n"/>
      <c r="H1" s="1" t="n"/>
      <c r="I1" s="1" t="n"/>
      <c r="J1" s="1" t="n"/>
    </row>
    <row r="3">
      <c r="A3" s="12" t="inlineStr">
        <is>
          <t>Overall Evaluation</t>
        </is>
      </c>
      <c r="B3" s="18" t="inlineStr">
        <is>
          <t>Accept</t>
        </is>
      </c>
      <c r="C3" s="12" t="inlineStr">
        <is>
          <t>Confidence</t>
        </is>
      </c>
      <c r="D3" t="inlineStr">
        <is>
          <t>High</t>
        </is>
      </c>
      <c r="E3" s="12" t="inlineStr">
        <is>
          <t>Total Tasks</t>
        </is>
      </c>
      <c r="F3">
        <f>COUNTA(A9:A9)</f>
        <v/>
      </c>
      <c r="G3" s="12" t="inlineStr">
        <is>
          <t>Done</t>
        </is>
      </c>
      <c r="H3">
        <f>COUNTIF(H9:H9,"Done")</f>
        <v/>
      </c>
      <c r="I3" s="12" t="inlineStr">
        <is>
          <t>Completion</t>
        </is>
      </c>
      <c r="J3" s="135">
        <f>IF(F3=0,0,H3/F3)</f>
        <v/>
      </c>
    </row>
    <row r="5">
      <c r="A5" s="61" t="inlineStr">
        <is>
          <t>Reviewer quotations are verbatim. Update only the tracking, response, and paper-location columns.</t>
        </is>
      </c>
      <c r="B5" s="1" t="n"/>
      <c r="C5" s="1" t="n"/>
      <c r="D5" s="1" t="n"/>
      <c r="E5" s="1" t="n"/>
      <c r="F5" s="1" t="n"/>
      <c r="G5" s="1" t="n"/>
      <c r="H5" s="1" t="n"/>
      <c r="I5" s="1" t="n"/>
      <c r="J5" s="1" t="n"/>
    </row>
    <row r="8" ht="42" customHeight="1">
      <c r="A8" s="36" t="inlineStr">
        <is>
          <t>Task ID</t>
        </is>
      </c>
      <c r="B8" s="37" t="inlineStr">
        <is>
          <t>Category</t>
        </is>
      </c>
      <c r="C8" s="37" t="inlineStr">
        <is>
          <t>Source Section</t>
        </is>
      </c>
      <c r="D8" s="37" t="inlineStr">
        <is>
          <t>Source Line(s)</t>
        </is>
      </c>
      <c r="E8" s="37" t="inlineStr">
        <is>
          <t>Verbatim Reviewer Point</t>
        </is>
      </c>
      <c r="F8" s="37" t="inlineStr">
        <is>
          <t>Suggested Action</t>
        </is>
      </c>
      <c r="G8" s="37" t="inlineStr">
        <is>
          <t>Priority</t>
        </is>
      </c>
      <c r="H8" s="37" t="inlineStr">
        <is>
          <t>Status</t>
        </is>
      </c>
      <c r="I8" s="37" t="inlineStr">
        <is>
          <t>Author Response / Change Made</t>
        </is>
      </c>
      <c r="J8" s="38" t="inlineStr">
        <is>
          <t>Paper Section / Location</t>
        </is>
      </c>
    </row>
    <row r="9" ht="72" customHeight="1">
      <c r="A9" s="53" t="inlineStr">
        <is>
          <t>R5-01</t>
        </is>
      </c>
      <c r="B9" s="131" t="inlineStr">
        <is>
          <t>Release</t>
        </is>
      </c>
      <c r="C9" s="42" t="inlineStr">
        <is>
          <t>Weaknesses</t>
        </is>
      </c>
      <c r="D9" s="42" t="inlineStr">
        <is>
          <t>315</t>
        </is>
      </c>
      <c r="E9" s="90" t="inlineStr">
        <is>
          <t>it would be desirable to provide the framework and dataset on a Github repo.</t>
        </is>
      </c>
      <c r="F9" s="90" t="inlineStr">
        <is>
          <t>Provide the framework and dataset through a GitHub repository, or clearly state the release timeline and access conditions.</t>
        </is>
      </c>
      <c r="G9" s="42" t="inlineStr">
        <is>
          <t>Medium</t>
        </is>
      </c>
      <c r="H9" s="42" t="inlineStr">
        <is>
          <t>Not Started</t>
        </is>
      </c>
      <c r="I9" s="90" t="str"/>
      <c r="J9" s="87" t="str"/>
    </row>
  </sheetData>
  <mergeCells count="2">
    <mergeCell ref="A1:J1"/>
    <mergeCell ref="A5:J5"/>
  </mergeCells>
  <conditionalFormatting sqref="H9">
    <cfRule type="expression" priority="1" dxfId="0">
      <formula>H9="Done"</formula>
    </cfRule>
    <cfRule type="expression" priority="2" dxfId="1">
      <formula>H9="In Progress"</formula>
    </cfRule>
    <cfRule type="expression" priority="3" dxfId="2">
      <formula>H9="Not Started"</formula>
    </cfRule>
    <cfRule type="expression" priority="4" dxfId="3">
      <formula>H9="Not Applicable"</formula>
    </cfRule>
  </conditionalFormatting>
  <dataValidations count="2">
    <dataValidation sqref="G9" showDropDown="0" showInputMessage="0" showErrorMessage="0" allowBlank="0" type="list">
      <formula1>"High,Medium,Low"</formula1>
    </dataValidation>
    <dataValidation sqref="H9" showDropDown="0" showInputMessage="0" showErrorMessage="0" allowBlank="0" type="list">
      <formula1>"Not Started,In Progress,Done,Not Applicable"</formula1>
    </dataValidation>
  </dataValidations>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24" customWidth="1" min="1" max="1"/>
    <col width="10" customWidth="1" min="2" max="2"/>
    <col width="12" customWidth="1" min="3" max="3"/>
    <col width="95" customWidth="1" min="4" max="4"/>
  </cols>
  <sheetData>
    <row r="1" ht="30" customHeight="1">
      <c r="A1" s="9" t="inlineStr">
        <is>
          <t>Reviewer #6 — Complete Review (Verbatim)</t>
        </is>
      </c>
      <c r="B1" s="1" t="n"/>
      <c r="C1" s="1" t="n"/>
      <c r="D1" s="1" t="n"/>
    </row>
    <row r="3">
      <c r="A3" s="12" t="inlineStr">
        <is>
          <t>Overall Evaluation</t>
        </is>
      </c>
      <c r="B3" s="18" t="inlineStr">
        <is>
          <t>Borderline Paper</t>
        </is>
      </c>
      <c r="C3" s="19" t="inlineStr">
        <is>
          <t>Confidence</t>
        </is>
      </c>
      <c r="D3" s="18" t="inlineStr">
        <is>
          <t>High</t>
        </is>
      </c>
    </row>
    <row r="4">
      <c r="A4" s="12" t="inlineStr">
        <is>
          <t>Paper Type</t>
        </is>
      </c>
      <c r="B4" s="22" t="inlineStr">
        <is>
          <t>Should be accepted as a Long Paper</t>
        </is>
      </c>
      <c r="C4" s="1" t="n"/>
      <c r="D4" s="1" t="n"/>
    </row>
    <row r="6">
      <c r="A6" s="61" t="inlineStr">
        <is>
          <t>All wording below is copied directly from the uploaded review text.</t>
        </is>
      </c>
      <c r="B6" s="1" t="n"/>
      <c r="C6" s="1" t="n"/>
      <c r="D6" s="1" t="n"/>
    </row>
    <row r="7" ht="32" customHeight="1">
      <c r="A7" s="36" t="inlineStr">
        <is>
          <t>Section</t>
        </is>
      </c>
      <c r="B7" s="37" t="inlineStr">
        <is>
          <t>Point #</t>
        </is>
      </c>
      <c r="C7" s="37" t="inlineStr">
        <is>
          <t>Source Line</t>
        </is>
      </c>
      <c r="D7" s="38" t="inlineStr">
        <is>
          <t>Verbatim Reviewer Text</t>
        </is>
      </c>
    </row>
    <row r="8" ht="78" customHeight="1">
      <c r="A8" s="120" t="inlineStr">
        <is>
          <t>Paper Summary</t>
        </is>
      </c>
      <c r="B8" s="124" t="n">
        <v>1</v>
      </c>
      <c r="C8" s="124" t="n">
        <v>330</v>
      </c>
      <c r="D8" s="85" t="inlineStr">
        <is>
          <t>This paper tackles binary Legal Judgment Prediction (allowed vs. dismissed) over Indian High Court cases. The pitch is that instead of feeding flat text to a classifier, the authors extract legal entities and rhetorical roles with OpenNyAI, consolidate multi-hearing timelines, strip the decision-bearing parts of the document, and assemble a heterogeneous graph, including cases, sections, statutes, provisions, precedents, judges, lawyers and parties. The headline contributions are the corpus, the leakage-aware graph design, and the auditability layer.</t>
        </is>
      </c>
    </row>
    <row r="9" ht="78" customHeight="1">
      <c r="A9" s="120" t="inlineStr">
        <is>
          <t>Strengths</t>
        </is>
      </c>
      <c r="B9" s="124" t="n">
        <v>1</v>
      </c>
      <c r="C9" s="124" t="n">
        <v>332</v>
      </c>
      <c r="D9" s="85" t="inlineStr">
        <is>
          <t>1. Technical novelty and innovation: The novelty is more in the engineering discipline than in the model. Heterogeneous Graph Transfermer (HGT) is ready-made, BGE-M3 and InLegalBERT are existing encoders. What's genuinely uncommon and credited to authors is treating leakage as a first-class design constraint rather than an afterthought, masking canonical disposition phrases, keeping actor identities case-local, and then stress-testing the result. Other topic related papers usually don't do half of this.</t>
        </is>
      </c>
    </row>
    <row r="10" ht="42" customHeight="1">
      <c r="A10" s="120" t="inlineStr">
        <is>
          <t>Strengths</t>
        </is>
      </c>
      <c r="B10" s="124" t="n">
        <v>2</v>
      </c>
      <c r="C10" s="124" t="n">
        <v>333</v>
      </c>
      <c r="D10" s="85" t="inlineStr">
        <is>
          <t>2. Experimental rigor and validation: Breadth is good with ten structural ablations, five domains, two encoders, 5-fold CV on case-level splits. The mask-sensitivity audit (Table 6) and the contrastive boundary subgraph (Fig. 3) are the kind of probing analysis I wish more applied GNN papers included.</t>
        </is>
      </c>
    </row>
    <row r="11" ht="42" customHeight="1">
      <c r="A11" s="120" t="inlineStr">
        <is>
          <t>Strengths</t>
        </is>
      </c>
      <c r="B11" s="124" t="n">
        <v>3</v>
      </c>
      <c r="C11" s="124" t="n">
        <v>334</v>
      </c>
      <c r="D11" s="85" t="inlineStr">
        <is>
          <t>3. Significance of contributions: A large, openly released Indian LJP corpus with rhetorical roles and multi-hearing consolidation has real value to the community, and the auditability framing is the right direction for a high-stakes domain. The data alone is a contribution.</t>
        </is>
      </c>
    </row>
    <row r="12" ht="42" customHeight="1">
      <c r="A12" s="120" t="inlineStr">
        <is>
          <t>Weaknesses</t>
        </is>
      </c>
      <c r="B12" s="124" t="n">
        <v>1</v>
      </c>
      <c r="C12" s="124" t="n">
        <v>336</v>
      </c>
      <c r="D12" s="85" t="inlineStr">
        <is>
          <t>1. Technical limitations or concerns: The central problem is the labels. The outcome labels are LLM-generated (from the context: "a consistency-checked LLM prompt over pre-outcome texts," from 3.1), with no human-validated gold subset or error rate.</t>
        </is>
      </c>
    </row>
    <row r="13" ht="78" customHeight="1">
      <c r="A13" s="120" t="inlineStr">
        <is>
          <t>Weaknesses</t>
        </is>
      </c>
      <c r="B13" s="124" t="n">
        <v>2</v>
      </c>
      <c r="C13" s="124" t="n">
        <v>337</v>
      </c>
      <c r="D13" s="85" t="inlineStr">
        <is>
          <t>2. Experimental gaps or methodological issues: (1) Lack of real text baseline. "Text-only" still runs inside the HGT case-star graph. It is not a fine-tuned InLegalBERT/Longformer classifier, not TF-IDF+SVM, not even a majority-class baseline. So the claim of "decisive advantage over flat text" has no flat-text comparator. (2) The LLM comparison is a weak. InLegalLlama is run zero-shot with a JSON prompt, parses only 53.2% of the time, and accuracy is computed on the parsed subset which is a biased denominator.</t>
        </is>
      </c>
    </row>
    <row r="14" ht="78" customHeight="1">
      <c r="A14" s="120" t="inlineStr">
        <is>
          <t>Weaknesses</t>
        </is>
      </c>
      <c r="B14" s="124" t="n">
        <v>3</v>
      </c>
      <c r="C14" s="124" t="n">
        <v>338</v>
      </c>
      <c r="D14" s="85" t="inlineStr">
        <is>
          <t>3. The paper's own ablation contradicts one of its core claims. §4.2 states that "disabling cross-case edges (Isolated) slightly reduces performance," yet in Table 2 the Isolated configuration scores higher than Full Network on both summary columns under BGE-M3: cross-bucket 78.37 vs 78.11 and avg-domain 80.42 vs 80.31. Since global cross-case authority sharing is billed as a central contribution and the 2-layer depth is what makes it operative, the fact that removing it does not hurt directly undercuts the thesis.</t>
        </is>
      </c>
    </row>
    <row r="15" ht="42" customHeight="1">
      <c r="A15" s="120" t="inlineStr">
        <is>
          <t>Overall evaluation</t>
        </is>
      </c>
      <c r="B15" s="124" t="n">
        <v>1</v>
      </c>
      <c r="C15" s="124" t="n">
        <v>340</v>
      </c>
      <c r="D15" s="85" t="inlineStr">
        <is>
          <t>Borderline Paper</t>
        </is>
      </c>
    </row>
    <row r="16" ht="42" customHeight="1">
      <c r="A16" s="120" t="inlineStr">
        <is>
          <t>Detailed Comments</t>
        </is>
      </c>
      <c r="B16" s="124" t="n">
        <v>1</v>
      </c>
      <c r="C16" s="124" t="n">
        <v>342</v>
      </c>
      <c r="D16" s="85" t="inlineStr">
        <is>
          <t>As discussed above in the Weakness Section.</t>
        </is>
      </c>
    </row>
    <row r="17" ht="42" customHeight="1">
      <c r="A17" s="120" t="inlineStr">
        <is>
          <t>Paper Type (if accepted)</t>
        </is>
      </c>
      <c r="B17" s="124" t="n">
        <v>1</v>
      </c>
      <c r="C17" s="124" t="n">
        <v>344</v>
      </c>
      <c r="D17" s="85" t="inlineStr">
        <is>
          <t>Should be accepted as a Long Paper</t>
        </is>
      </c>
    </row>
    <row r="18" ht="42" customHeight="1">
      <c r="A18" s="121" t="inlineStr">
        <is>
          <t>Reviewer's confidence</t>
        </is>
      </c>
      <c r="B18" s="125" t="n">
        <v>1</v>
      </c>
      <c r="C18" s="125" t="n">
        <v>346</v>
      </c>
      <c r="D18" s="87" t="inlineStr">
        <is>
          <t>High</t>
        </is>
      </c>
    </row>
  </sheetData>
  <mergeCells count="3">
    <mergeCell ref="A1:D1"/>
    <mergeCell ref="B4:D4"/>
    <mergeCell ref="A6:D6"/>
  </mergeCells>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cols>
    <col width="11" customWidth="1" min="1" max="1"/>
    <col width="24" customWidth="1" min="2" max="2"/>
    <col width="24" customWidth="1" min="3" max="3"/>
    <col width="14" customWidth="1" min="4" max="4"/>
    <col width="78" customWidth="1" min="5" max="5"/>
    <col width="52" customWidth="1" min="6" max="6"/>
    <col width="12" customWidth="1" min="7" max="7"/>
    <col width="16" customWidth="1" min="8" max="8"/>
    <col width="48" customWidth="1" min="9" max="9"/>
    <col width="28" customWidth="1" min="10" max="10"/>
  </cols>
  <sheetData>
    <row r="1" ht="30" customHeight="1">
      <c r="A1" s="9" t="inlineStr">
        <is>
          <t>Reviewer #6 — Revision To-Do Tracker</t>
        </is>
      </c>
      <c r="B1" s="1" t="n"/>
      <c r="C1" s="1" t="n"/>
      <c r="D1" s="1" t="n"/>
      <c r="E1" s="1" t="n"/>
      <c r="F1" s="1" t="n"/>
      <c r="G1" s="1" t="n"/>
      <c r="H1" s="1" t="n"/>
      <c r="I1" s="1" t="n"/>
      <c r="J1" s="1" t="n"/>
    </row>
    <row r="3">
      <c r="A3" s="12" t="inlineStr">
        <is>
          <t>Overall Evaluation</t>
        </is>
      </c>
      <c r="B3" s="18" t="inlineStr">
        <is>
          <t>Borderline Paper</t>
        </is>
      </c>
      <c r="C3" s="12" t="inlineStr">
        <is>
          <t>Confidence</t>
        </is>
      </c>
      <c r="D3" t="inlineStr">
        <is>
          <t>High</t>
        </is>
      </c>
      <c r="E3" s="12" t="inlineStr">
        <is>
          <t>Total Tasks</t>
        </is>
      </c>
      <c r="F3">
        <f>COUNTA(A9:A11)</f>
        <v/>
      </c>
      <c r="G3" s="12" t="inlineStr">
        <is>
          <t>Done</t>
        </is>
      </c>
      <c r="H3">
        <f>COUNTIF(H9:H11,"Done")</f>
        <v/>
      </c>
      <c r="I3" s="12" t="inlineStr">
        <is>
          <t>Completion</t>
        </is>
      </c>
      <c r="J3" s="135">
        <f>IF(F3=0,0,H3/F3)</f>
        <v/>
      </c>
    </row>
    <row r="5">
      <c r="A5" s="61" t="inlineStr">
        <is>
          <t>Reviewer quotations are verbatim. Update only the tracking, response, and paper-location columns.</t>
        </is>
      </c>
      <c r="B5" s="1" t="n"/>
      <c r="C5" s="1" t="n"/>
      <c r="D5" s="1" t="n"/>
      <c r="E5" s="1" t="n"/>
      <c r="F5" s="1" t="n"/>
      <c r="G5" s="1" t="n"/>
      <c r="H5" s="1" t="n"/>
      <c r="I5" s="1" t="n"/>
      <c r="J5" s="1" t="n"/>
    </row>
    <row r="8" ht="42" customHeight="1">
      <c r="A8" s="36" t="inlineStr">
        <is>
          <t>Task ID</t>
        </is>
      </c>
      <c r="B8" s="37" t="inlineStr">
        <is>
          <t>Category</t>
        </is>
      </c>
      <c r="C8" s="37" t="inlineStr">
        <is>
          <t>Source Section</t>
        </is>
      </c>
      <c r="D8" s="37" t="inlineStr">
        <is>
          <t>Source Line(s)</t>
        </is>
      </c>
      <c r="E8" s="37" t="inlineStr">
        <is>
          <t>Verbatim Reviewer Point</t>
        </is>
      </c>
      <c r="F8" s="37" t="inlineStr">
        <is>
          <t>Suggested Action</t>
        </is>
      </c>
      <c r="G8" s="37" t="inlineStr">
        <is>
          <t>Priority</t>
        </is>
      </c>
      <c r="H8" s="37" t="inlineStr">
        <is>
          <t>Status</t>
        </is>
      </c>
      <c r="I8" s="37" t="inlineStr">
        <is>
          <t>Author Response / Change Made</t>
        </is>
      </c>
      <c r="J8" s="38" t="inlineStr">
        <is>
          <t>Paper Section / Location</t>
        </is>
      </c>
    </row>
    <row r="9" ht="72" customHeight="1">
      <c r="A9" s="52" t="inlineStr">
        <is>
          <t>R6-01</t>
        </is>
      </c>
      <c r="B9" s="130" t="inlineStr">
        <is>
          <t>Label quality</t>
        </is>
      </c>
      <c r="C9" s="18" t="inlineStr">
        <is>
          <t>Weaknesses</t>
        </is>
      </c>
      <c r="D9" s="18" t="inlineStr">
        <is>
          <t>336</t>
        </is>
      </c>
      <c r="E9" s="24" t="inlineStr">
        <is>
          <t>1. Technical limitations or concerns: The central problem is the labels. The outcome labels are LLM-generated (from the context: "a consistency-checked LLM prompt over pre-outcome texts," from 3.1), with no human-validated gold subset or error rate.</t>
        </is>
      </c>
      <c r="F9" s="24" t="inlineStr">
        <is>
          <t>Create and report a human-validated gold subset and estimate the label error/noise rate.</t>
        </is>
      </c>
      <c r="G9" s="18" t="inlineStr">
        <is>
          <t>High</t>
        </is>
      </c>
      <c r="H9" s="18" t="inlineStr">
        <is>
          <t>Not Started</t>
        </is>
      </c>
      <c r="I9" s="24" t="str"/>
      <c r="J9" s="85" t="str"/>
    </row>
    <row r="10" ht="95" customHeight="1">
      <c r="A10" s="52" t="inlineStr">
        <is>
          <t>R6-02</t>
        </is>
      </c>
      <c r="B10" s="130" t="inlineStr">
        <is>
          <t>Baselines &amp; LLM comparison</t>
        </is>
      </c>
      <c r="C10" s="18" t="inlineStr">
        <is>
          <t>Weaknesses</t>
        </is>
      </c>
      <c r="D10" s="18" t="inlineStr">
        <is>
          <t>337</t>
        </is>
      </c>
      <c r="E10" s="24" t="inlineStr">
        <is>
          <t>2. Experimental gaps or methodological issues: (1) Lack of real text baseline. "Text-only" still runs inside the HGT case-star graph. It is not a fine-tuned InLegalBERT/Longformer classifier, not TF-IDF+SVM, not even a majority-class baseline. So the claim of "decisive advantage over flat text" has no flat-text comparator. (2) The LLM comparison is a weak. InLegalLlama is run zero-shot with a JSON prompt, parses only 53.2% of the time, and accuracy is computed on the parsed subset which is a biased denominator.</t>
        </is>
      </c>
      <c r="F10" s="24" t="inlineStr">
        <is>
          <t>Add a true flat-text baseline and correct/qualify the InLegalLlama comparison and denominator.</t>
        </is>
      </c>
      <c r="G10" s="18" t="inlineStr">
        <is>
          <t>High</t>
        </is>
      </c>
      <c r="H10" s="18" t="inlineStr">
        <is>
          <t>Done</t>
        </is>
      </c>
      <c r="I10" s="24" t="inlineStr">
        <is>
          <t>Added genuine leakage-sanitized flat-text classifiers on the same 71,813 cases and five case-level folds. Linear SVM obtains 83.13% accuracy / 0.8251 macro-F1 versus HGT 80.63% / 0.8002, so predictive-superiority claims over flat text were removed. Corrected InLegalLlama to the full 14,363-case denominator with unparseable outputs treated as incorrect abstentions: CPT coverage 53.2%, accuracy 33.22%, macro-F1 0.3914; SFT coverage 78.7%, accuracy 48.42%, macro-F1 0.3585. Parsed-only values are retained only as selective diagnostics, and the one-fold zero-shot scope is stated.</t>
        </is>
      </c>
      <c r="J10" s="85" t="inlineStr">
        <is>
          <t>8pg_paper.tex: Abstract; Predictive Performance/Table 2; Limitations; Conclusion. Evidence: codes/R6_02_flat_text_llm_denominator/outputs/report_r6_02.md</t>
        </is>
      </c>
    </row>
    <row r="11" ht="95" customHeight="1">
      <c r="A11" s="53" t="inlineStr">
        <is>
          <t>R6-03</t>
        </is>
      </c>
      <c r="B11" s="131" t="inlineStr">
        <is>
          <t>Ablations &amp; claims</t>
        </is>
      </c>
      <c r="C11" s="42" t="inlineStr">
        <is>
          <t>Weaknesses</t>
        </is>
      </c>
      <c r="D11" s="42" t="inlineStr">
        <is>
          <t>338</t>
        </is>
      </c>
      <c r="E11" s="90" t="inlineStr">
        <is>
          <t>3. The paper's own ablation contradicts one of its core claims. §4.2 states that "disabling cross-case edges (Isolated) slightly reduces performance," yet in Table 2 the Isolated configuration scores higher than Full Network on both summary columns under BGE-M3: cross-bucket 78.37 vs 78.11 and avg-domain 80.42 vs 80.31. Since global cross-case authority sharing is billed as a central contribution and the 2-layer depth is what makes it operative, the fact that removing it does not hurt directly undercuts the thesis.</t>
        </is>
      </c>
      <c r="F11" s="90" t="inlineStr">
        <is>
          <t>Resolve the Isolated-vs-Full Network contradiction and revise the cross-case authority-sharing claim accordingly.</t>
        </is>
      </c>
      <c r="G11" s="42" t="inlineStr">
        <is>
          <t>High</t>
        </is>
      </c>
      <c r="H11" s="42" t="inlineStr">
        <is>
          <t>Not Started</t>
        </is>
      </c>
      <c r="I11" s="90" t="str"/>
      <c r="J11" s="87" t="str"/>
    </row>
  </sheetData>
  <mergeCells count="2">
    <mergeCell ref="A1:J1"/>
    <mergeCell ref="A5:J5"/>
  </mergeCells>
  <conditionalFormatting sqref="H9:H11">
    <cfRule type="expression" priority="1" dxfId="0">
      <formula>H9="Done"</formula>
    </cfRule>
    <cfRule type="expression" priority="2" dxfId="1">
      <formula>H9="In Progress"</formula>
    </cfRule>
    <cfRule type="expression" priority="3" dxfId="2">
      <formula>H9="Not Started"</formula>
    </cfRule>
    <cfRule type="expression" priority="4" dxfId="3">
      <formula>H9="Not Applicable"</formula>
    </cfRule>
  </conditionalFormatting>
  <dataValidations count="2">
    <dataValidation sqref="G9:G11" showDropDown="0" showInputMessage="0" showErrorMessage="0" allowBlank="0" type="list">
      <formula1>"High,Medium,Low"</formula1>
    </dataValidation>
    <dataValidation sqref="H9:H11" showDropDown="0" showInputMessage="0" showErrorMessage="0" allowBlank="0" type="list">
      <formula1>"Not Started,In Progress,Done,Not Applicable"</formula1>
    </dataValidation>
  </dataValidations>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2026-08-11T14:21:50Z</dcterms:created>
  <dcterms:modified xsi:type="dcterms:W3CDTF">2026-08-11T14:21:50Z</dcterms:modified>
</cp:coreProperties>
</file>